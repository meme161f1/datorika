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hviba\My Documents\SKOLOTAJAI\"/>
    </mc:Choice>
  </mc:AlternateContent>
  <xr:revisionPtr revIDLastSave="0" documentId="8_{E65EB1AD-41A0-4C9B-A256-4F20185E0F74}" xr6:coauthVersionLast="47" xr6:coauthVersionMax="47" xr10:uidLastSave="{00000000-0000-0000-0000-000000000000}"/>
  <bookViews>
    <workbookView xWindow="-120" yWindow="-120" windowWidth="29040" windowHeight="15840" tabRatio="704" activeTab="8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velo" sheetId="23" r:id="rId11"/>
    <sheet name="Sheet3" sheetId="27" r:id="rId12"/>
    <sheet name="pH" sheetId="24" r:id="rId13"/>
  </sheets>
  <definedNames>
    <definedName name="_xlnm._FilterDatabase" localSheetId="6" hidden="1">dati1!$A$4:$L$71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1" l="1"/>
  <c r="D16" i="21"/>
  <c r="D17" i="21"/>
  <c r="D18" i="21"/>
  <c r="D19" i="21"/>
  <c r="D20" i="21"/>
  <c r="D21" i="21"/>
  <c r="D22" i="21"/>
  <c r="D23" i="21"/>
  <c r="D24" i="21"/>
  <c r="D25" i="21"/>
  <c r="D3" i="21"/>
  <c r="D4" i="21"/>
  <c r="D5" i="21"/>
  <c r="D6" i="21"/>
  <c r="D7" i="21"/>
  <c r="D8" i="21"/>
  <c r="D9" i="21"/>
  <c r="D10" i="21"/>
  <c r="D11" i="21"/>
  <c r="D12" i="21"/>
  <c r="D13" i="21"/>
  <c r="D14" i="21"/>
  <c r="N2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4" i="1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4" i="5"/>
  <c r="I5" i="5"/>
  <c r="I6" i="5"/>
  <c r="I7" i="5"/>
  <c r="I3" i="5"/>
  <c r="G4" i="5"/>
  <c r="C4" i="5" s="1"/>
  <c r="G5" i="5"/>
  <c r="C5" i="5" s="1"/>
  <c r="G6" i="5"/>
  <c r="C6" i="5" s="1"/>
  <c r="G7" i="5"/>
  <c r="C7" i="5" s="1"/>
  <c r="G8" i="5"/>
  <c r="G9" i="5"/>
  <c r="G10" i="5"/>
  <c r="C10" i="5" s="1"/>
  <c r="G11" i="5"/>
  <c r="C11" i="5" s="1"/>
  <c r="G12" i="5"/>
  <c r="C12" i="5" s="1"/>
  <c r="G13" i="5"/>
  <c r="C13" i="5" s="1"/>
  <c r="G14" i="5"/>
  <c r="G15" i="5"/>
  <c r="G16" i="5"/>
  <c r="C16" i="5" s="1"/>
  <c r="G17" i="5"/>
  <c r="C17" i="5" s="1"/>
  <c r="G18" i="5"/>
  <c r="C18" i="5" s="1"/>
  <c r="G19" i="5"/>
  <c r="C19" i="5" s="1"/>
  <c r="G20" i="5"/>
  <c r="G21" i="5"/>
  <c r="G22" i="5"/>
  <c r="C22" i="5" s="1"/>
  <c r="G23" i="5"/>
  <c r="C23" i="5" s="1"/>
  <c r="G24" i="5"/>
  <c r="C24" i="5" s="1"/>
  <c r="G25" i="5"/>
  <c r="C25" i="5" s="1"/>
  <c r="G26" i="5"/>
  <c r="G27" i="5"/>
  <c r="G28" i="5"/>
  <c r="C28" i="5" s="1"/>
  <c r="G29" i="5"/>
  <c r="C29" i="5" s="1"/>
  <c r="G30" i="5"/>
  <c r="C30" i="5" s="1"/>
  <c r="G31" i="5"/>
  <c r="C31" i="5" s="1"/>
  <c r="G32" i="5"/>
  <c r="G33" i="5"/>
  <c r="G34" i="5"/>
  <c r="C34" i="5" s="1"/>
  <c r="G35" i="5"/>
  <c r="C35" i="5" s="1"/>
  <c r="G36" i="5"/>
  <c r="C36" i="5" s="1"/>
  <c r="G37" i="5"/>
  <c r="C37" i="5" s="1"/>
  <c r="G38" i="5"/>
  <c r="G39" i="5"/>
  <c r="G40" i="5"/>
  <c r="C40" i="5" s="1"/>
  <c r="G41" i="5"/>
  <c r="C41" i="5" s="1"/>
  <c r="G42" i="5"/>
  <c r="C42" i="5" s="1"/>
  <c r="G43" i="5"/>
  <c r="C43" i="5" s="1"/>
  <c r="G44" i="5"/>
  <c r="G45" i="5"/>
  <c r="G46" i="5"/>
  <c r="C46" i="5" s="1"/>
  <c r="G47" i="5"/>
  <c r="C47" i="5" s="1"/>
  <c r="G48" i="5"/>
  <c r="C48" i="5" s="1"/>
  <c r="G49" i="5"/>
  <c r="C49" i="5" s="1"/>
  <c r="G50" i="5"/>
  <c r="G51" i="5"/>
  <c r="G52" i="5"/>
  <c r="C52" i="5" s="1"/>
  <c r="G53" i="5"/>
  <c r="C53" i="5" s="1"/>
  <c r="G54" i="5"/>
  <c r="C54" i="5" s="1"/>
  <c r="G55" i="5"/>
  <c r="C55" i="5" s="1"/>
  <c r="G56" i="5"/>
  <c r="G57" i="5"/>
  <c r="G58" i="5"/>
  <c r="C58" i="5" s="1"/>
  <c r="G59" i="5"/>
  <c r="C59" i="5" s="1"/>
  <c r="G60" i="5"/>
  <c r="C60" i="5" s="1"/>
  <c r="G61" i="5"/>
  <c r="C61" i="5" s="1"/>
  <c r="G62" i="5"/>
  <c r="G63" i="5"/>
  <c r="G64" i="5"/>
  <c r="C64" i="5" s="1"/>
  <c r="G65" i="5"/>
  <c r="C65" i="5" s="1"/>
  <c r="G66" i="5"/>
  <c r="C66" i="5" s="1"/>
  <c r="G67" i="5"/>
  <c r="C67" i="5" s="1"/>
  <c r="G68" i="5"/>
  <c r="G69" i="5"/>
  <c r="G70" i="5"/>
  <c r="C70" i="5" s="1"/>
  <c r="G3" i="5"/>
  <c r="C3" i="5" s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8" i="5"/>
  <c r="C9" i="5"/>
  <c r="C14" i="5"/>
  <c r="C15" i="5"/>
  <c r="C20" i="5"/>
  <c r="C21" i="5"/>
  <c r="C26" i="5"/>
  <c r="C27" i="5"/>
  <c r="C32" i="5"/>
  <c r="C33" i="5"/>
  <c r="C38" i="5"/>
  <c r="C39" i="5"/>
  <c r="C44" i="5"/>
  <c r="C45" i="5"/>
  <c r="C50" i="5"/>
  <c r="C51" i="5"/>
  <c r="C56" i="5"/>
  <c r="C57" i="5"/>
  <c r="C62" i="5"/>
  <c r="C63" i="5"/>
  <c r="C68" i="5"/>
  <c r="C69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4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<sst xmlns="http://schemas.openxmlformats.org/spreadsheetml/2006/main" count="9149" uniqueCount="3917">
  <si>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</si>
  <si>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</si>
  <si>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</si>
  <si>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</si>
  <si>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</si>
  <si>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</si>
  <si>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</si>
  <si>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</si>
  <si>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</si>
  <si>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</si>
  <si>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</si>
  <si>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</si>
  <si>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</si>
  <si>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</si>
  <si>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</si>
  <si>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</si>
  <si>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</si>
  <si>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</si>
  <si>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</si>
  <si>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</si>
  <si>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</si>
  <si>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</si>
  <si>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</si>
  <si>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</si>
  <si>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</si>
  <si>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</si>
  <si>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</si>
  <si>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</si>
  <si>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</si>
  <si>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</si>
  <si>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</si>
  <si>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</si>
  <si>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</si>
  <si>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</si>
  <si>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</si>
  <si>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</si>
  <si>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</si>
  <si>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</si>
  <si>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</si>
  <si>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</si>
  <si>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</si>
  <si>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</si>
  <si>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</si>
  <si>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</si>
  <si>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</si>
  <si>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</si>
  <si>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</si>
  <si>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</si>
  <si>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</si>
  <si>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</si>
  <si>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</si>
  <si>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</si>
  <si>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</si>
  <si>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</si>
  <si>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</si>
  <si>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</si>
  <si>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</si>
  <si>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</si>
  <si>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</si>
  <si>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</si>
  <si>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</si>
  <si>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</si>
  <si>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</si>
  <si>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</si>
  <si>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</si>
  <si>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</si>
  <si>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</si>
  <si>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</si>
  <si>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</si>
  <si>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</si>
  <si>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</si>
  <si>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</si>
  <si>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</si>
  <si>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</si>
  <si>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</si>
  <si>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</si>
  <si>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</si>
  <si>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</si>
  <si>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</si>
  <si>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</si>
  <si>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</si>
  <si>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</si>
  <si>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</si>
  <si>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</si>
  <si>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</si>
  <si>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</si>
  <si>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</si>
  <si>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</si>
  <si>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</si>
  <si>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</si>
  <si>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</si>
  <si>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</si>
  <si>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</si>
  <si>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</si>
  <si>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</si>
  <si>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</si>
  <si>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</si>
  <si>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</si>
  <si>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</si>
  <si>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</si>
  <si>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</si>
  <si>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</si>
  <si>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</si>
  <si>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</si>
  <si>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</si>
  <si>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</si>
  <si>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</si>
  <si>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</si>
  <si>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</si>
  <si>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</si>
  <si>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</si>
  <si>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</si>
  <si>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</si>
  <si>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</si>
  <si>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</si>
  <si>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</si>
  <si>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</si>
  <si>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</si>
  <si>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</si>
  <si>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</si>
  <si>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</si>
  <si>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</si>
  <si>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</si>
  <si>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</si>
  <si>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</si>
  <si>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</si>
  <si>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</si>
  <si>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</si>
  <si>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</si>
  <si>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</si>
  <si>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</si>
  <si>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</si>
  <si>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</si>
  <si>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</si>
  <si>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</si>
  <si>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</si>
  <si>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</si>
  <si>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</si>
  <si>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</si>
  <si>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</si>
  <si>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</si>
  <si>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</si>
  <si>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</si>
  <si>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</si>
  <si>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</si>
  <si>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</si>
  <si>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</si>
  <si>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</si>
  <si>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</si>
  <si>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</si>
  <si>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</si>
  <si>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</si>
  <si>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</si>
  <si>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</si>
  <si>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</si>
  <si>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</si>
  <si>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</si>
  <si>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</si>
  <si>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</si>
  <si>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</si>
  <si>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</si>
  <si>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</si>
  <si>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</si>
  <si>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</si>
  <si>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</si>
  <si>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</si>
  <si>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</si>
  <si>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</si>
  <si>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</si>
  <si>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</si>
  <si>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</si>
  <si>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</si>
  <si>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</si>
  <si>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</si>
  <si>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</si>
  <si>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</si>
  <si>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</si>
  <si>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</si>
  <si>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</si>
  <si>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</si>
  <si>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</si>
  <si>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</si>
  <si>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</si>
  <si>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</si>
  <si>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</si>
  <si>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</si>
  <si>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</si>
  <si>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</si>
  <si>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</si>
  <si>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</si>
  <si>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</si>
  <si>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</si>
  <si>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</si>
  <si>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</si>
  <si>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</si>
  <si>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</si>
  <si>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</si>
  <si>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</si>
  <si>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</si>
  <si>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</si>
  <si>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</si>
  <si>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</si>
  <si>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</si>
  <si>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</si>
  <si>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</si>
  <si>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</si>
  <si>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</si>
  <si>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</si>
  <si>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</si>
  <si>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</si>
  <si>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</si>
  <si>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</si>
  <si>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</si>
  <si>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</si>
  <si>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</si>
  <si>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</si>
  <si>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</si>
  <si>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</si>
  <si>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</si>
  <si>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</si>
  <si>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</si>
  <si>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</si>
  <si>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</si>
  <si>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</si>
  <si>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</si>
  <si>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</si>
  <si>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</si>
  <si>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</si>
  <si>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</si>
  <si>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</si>
  <si>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</si>
  <si>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</si>
  <si>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</si>
  <si>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</si>
  <si>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</si>
  <si>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</si>
  <si>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</si>
  <si>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</si>
  <si>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</si>
  <si>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</si>
  <si>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</si>
  <si>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</si>
  <si>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</si>
  <si>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</si>
  <si>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</si>
  <si>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</si>
  <si>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</si>
  <si>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</si>
  <si>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</si>
  <si>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</si>
  <si>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</si>
  <si>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</si>
  <si>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</si>
  <si>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</si>
  <si>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</si>
  <si>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</si>
  <si>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</si>
  <si>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</si>
  <si>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</si>
  <si>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</si>
  <si>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</si>
  <si>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</si>
  <si>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</si>
  <si>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</si>
  <si>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</si>
  <si>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</si>
  <si>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</si>
  <si>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</si>
  <si>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</si>
  <si>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</si>
  <si>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</si>
  <si>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</si>
  <si>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</si>
  <si>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</si>
  <si>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</si>
  <si>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</si>
  <si>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</si>
  <si>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</si>
  <si>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</si>
  <si>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</si>
  <si>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</si>
  <si>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</si>
  <si>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</si>
  <si>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</si>
  <si>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</si>
  <si>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</si>
  <si>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</si>
  <si>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</si>
  <si>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</si>
  <si>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</si>
  <si>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</si>
  <si>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</si>
  <si>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</si>
  <si>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</si>
  <si>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</si>
  <si>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</si>
  <si>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</si>
  <si>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</si>
  <si>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</si>
  <si>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</si>
  <si>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</si>
  <si>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</si>
  <si>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</si>
  <si>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</si>
  <si>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</si>
  <si>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</si>
  <si>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</si>
  <si>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</si>
  <si>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</si>
  <si>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</si>
  <si>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</si>
  <si>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</si>
  <si>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</si>
  <si>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</si>
  <si>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</si>
  <si>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</si>
  <si>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</si>
  <si>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</si>
  <si>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</si>
  <si>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</si>
  <si>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</si>
  <si>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</si>
  <si>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</si>
  <si>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</si>
  <si>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</si>
  <si>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</si>
  <si>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</si>
  <si>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</si>
  <si>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</si>
  <si>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</si>
  <si>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</si>
  <si>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</si>
  <si>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</si>
  <si>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</si>
  <si>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</si>
  <si>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</si>
  <si>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</si>
  <si>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</si>
  <si>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</si>
  <si>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</si>
  <si>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</si>
  <si>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</si>
  <si>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</si>
  <si>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</si>
  <si>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</si>
  <si>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</si>
  <si>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</si>
  <si>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</si>
  <si>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</si>
  <si>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</si>
  <si>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</si>
  <si>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</si>
  <si>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</si>
  <si>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</si>
  <si>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</si>
  <si>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</si>
  <si>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</si>
  <si>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</si>
  <si>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</si>
  <si>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</si>
  <si>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</si>
  <si>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</si>
  <si>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</si>
  <si>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</si>
  <si>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</si>
  <si>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</si>
  <si>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</si>
  <si>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</si>
  <si>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</si>
  <si>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</si>
  <si>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</si>
  <si>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</si>
  <si>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</si>
  <si>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</si>
  <si>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</si>
  <si>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</si>
  <si>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</si>
  <si>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</si>
  <si>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</si>
  <si>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</si>
  <si>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</si>
  <si>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</si>
  <si>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</si>
  <si>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</si>
  <si>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</si>
  <si>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</si>
  <si>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</si>
  <si>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</si>
  <si>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</si>
  <si>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</si>
  <si>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</si>
  <si>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</si>
  <si>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</si>
  <si>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</si>
  <si>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</si>
  <si>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</si>
  <si>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</si>
  <si>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</si>
  <si>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</si>
  <si>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</si>
  <si>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</si>
  <si>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</si>
  <si>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</si>
  <si>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</si>
  <si>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</si>
  <si>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</si>
  <si>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</si>
  <si>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</si>
  <si>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</si>
  <si>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</si>
  <si>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</si>
  <si>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</si>
  <si>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</si>
  <si>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</si>
  <si>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</si>
  <si>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</si>
  <si>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</si>
  <si>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</si>
  <si>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</si>
  <si>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</si>
  <si>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</si>
  <si>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</si>
  <si>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</si>
  <si>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</si>
  <si>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</si>
  <si>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</si>
  <si>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</si>
  <si>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</si>
  <si>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</si>
  <si>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</si>
  <si>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</si>
  <si>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</si>
  <si>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</si>
  <si>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</si>
  <si>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</si>
  <si>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</si>
  <si>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</si>
  <si>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</si>
  <si>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</si>
  <si>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</si>
  <si>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</si>
  <si>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</si>
  <si>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</si>
  <si>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</si>
  <si>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</si>
  <si>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</si>
  <si>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</si>
  <si>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</si>
  <si>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</si>
  <si>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</si>
  <si>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</si>
  <si>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</si>
  <si>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</si>
  <si>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</si>
  <si>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</si>
  <si>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</si>
  <si>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</si>
  <si>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</si>
  <si>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</si>
  <si>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</si>
  <si>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</si>
  <si>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</si>
  <si>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</si>
  <si>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</si>
  <si>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</si>
  <si>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</si>
  <si>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</si>
  <si>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</si>
  <si>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</si>
  <si>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</si>
  <si>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</si>
  <si>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</si>
  <si>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</si>
  <si>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</si>
  <si>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</si>
  <si>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</si>
  <si>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</si>
  <si>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</si>
  <si>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</si>
  <si>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</si>
  <si>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</si>
  <si>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</si>
  <si>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</si>
  <si>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</si>
  <si>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</si>
  <si>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</si>
  <si>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</si>
  <si>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</si>
  <si>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</si>
  <si>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</si>
  <si>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</si>
  <si>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</si>
  <si>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</si>
  <si>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</si>
  <si>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</si>
  <si>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</si>
  <si>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</si>
  <si>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</si>
  <si>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</si>
  <si>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</si>
  <si>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</si>
  <si>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</si>
  <si>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</si>
  <si>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</si>
  <si>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</si>
  <si>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</si>
  <si>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</si>
  <si>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</si>
  <si>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</si>
  <si>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</si>
  <si>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</si>
  <si>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</si>
  <si>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</si>
  <si>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</si>
  <si>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</si>
  <si>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</si>
  <si>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</si>
  <si>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</si>
  <si>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</si>
  <si>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</si>
  <si>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</si>
  <si>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</si>
  <si>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</si>
  <si>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</si>
  <si>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</si>
  <si>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</si>
  <si>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</si>
  <si>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</si>
  <si>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</si>
  <si>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</si>
  <si>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</si>
  <si>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</si>
  <si>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</si>
  <si>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</si>
  <si>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</si>
  <si>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</si>
  <si>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</si>
  <si>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</si>
  <si>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</si>
  <si>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</si>
  <si>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</si>
  <si>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</si>
  <si>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</si>
  <si>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</si>
  <si>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</si>
  <si>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</si>
  <si>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</si>
  <si>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</si>
  <si>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</si>
  <si>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</si>
  <si>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</si>
  <si>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</si>
  <si>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</si>
  <si>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</si>
  <si>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</si>
  <si>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</si>
  <si>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</si>
  <si>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</si>
  <si>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</si>
  <si>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</si>
  <si>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</si>
  <si>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</si>
  <si>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</si>
  <si>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</si>
  <si>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</si>
  <si>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</si>
  <si>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</si>
  <si>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</si>
  <si>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</si>
  <si>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</si>
  <si>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</si>
  <si>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</si>
  <si>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</si>
  <si>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</si>
  <si>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</si>
  <si>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</si>
  <si>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</si>
  <si>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</si>
  <si>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</si>
  <si>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</si>
  <si>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</si>
  <si>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</si>
  <si>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</si>
  <si>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</si>
  <si>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</si>
  <si>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</si>
  <si>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</si>
  <si>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</si>
  <si>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</si>
  <si>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</si>
  <si>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</si>
  <si>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</si>
  <si>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</si>
  <si>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</si>
  <si>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</si>
  <si>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</si>
  <si>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</si>
  <si>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</si>
  <si>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</si>
  <si>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</si>
  <si>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</si>
  <si>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</si>
  <si>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</si>
  <si>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</si>
  <si>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</si>
  <si>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</si>
  <si>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</si>
  <si>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</si>
  <si>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</si>
  <si>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</si>
  <si>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</si>
  <si>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</si>
  <si>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</si>
  <si>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</si>
  <si>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</si>
  <si>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</si>
  <si>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</si>
  <si>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</si>
  <si>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</si>
  <si>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</si>
  <si>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</si>
  <si>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</si>
  <si>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</si>
  <si>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</si>
  <si>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</si>
  <si>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</si>
  <si>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</si>
  <si>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</si>
  <si>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</si>
  <si>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</si>
  <si>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</si>
  <si>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</si>
  <si>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</si>
  <si>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</si>
  <si>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</si>
  <si>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</si>
  <si>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</si>
  <si>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</si>
  <si>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</si>
  <si>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</si>
  <si>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</si>
  <si>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</si>
  <si>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</si>
  <si>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</si>
  <si>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</si>
  <si>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</si>
  <si>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</si>
  <si>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</si>
  <si>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</si>
  <si>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</si>
  <si>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</si>
  <si>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</si>
  <si>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</si>
  <si>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</si>
  <si>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</si>
  <si>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</si>
  <si>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</si>
  <si>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</si>
  <si>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</si>
  <si>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</si>
  <si>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</si>
  <si>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</si>
  <si>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</si>
  <si>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</si>
  <si>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</si>
  <si>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</si>
  <si>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</si>
  <si>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</si>
  <si>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</si>
  <si>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</si>
  <si>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</si>
  <si>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</si>
  <si>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</si>
  <si>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</si>
  <si>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</si>
  <si>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</si>
  <si>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</si>
  <si>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</si>
  <si>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</si>
  <si>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</si>
  <si>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</si>
  <si>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</si>
  <si>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</si>
  <si>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</si>
  <si>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</si>
  <si>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</si>
  <si>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</si>
  <si>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</si>
  <si>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</si>
  <si>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</si>
  <si>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</si>
  <si>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</si>
  <si>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</si>
  <si>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</si>
  <si>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</si>
  <si>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</si>
  <si>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</si>
  <si>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</si>
  <si>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</si>
  <si>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</si>
  <si>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</si>
  <si>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</si>
  <si>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</si>
  <si>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</si>
  <si>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</si>
  <si>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</si>
  <si>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</si>
  <si>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</si>
  <si>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</si>
  <si>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</si>
  <si>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</si>
  <si>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</si>
  <si>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</si>
  <si>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</si>
  <si>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</si>
  <si>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</si>
  <si>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</si>
  <si>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</si>
  <si>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</si>
  <si>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</si>
  <si>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</si>
  <si>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</si>
  <si>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</si>
  <si>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</si>
  <si>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</si>
  <si>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</si>
  <si>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</si>
  <si>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</si>
  <si>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</si>
  <si>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</si>
  <si>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</si>
  <si>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</si>
  <si>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</si>
  <si>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</si>
  <si>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</si>
  <si>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</si>
  <si>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</si>
  <si>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</si>
  <si>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</si>
  <si>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</si>
  <si>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</si>
  <si>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</si>
  <si>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</si>
  <si>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</si>
  <si>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</si>
  <si>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</si>
  <si>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</si>
  <si>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</si>
  <si>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</si>
  <si>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</si>
  <si>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</si>
  <si>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</si>
  <si>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</si>
  <si>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</si>
  <si>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</si>
  <si>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</si>
  <si>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</si>
  <si>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</si>
  <si>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</si>
  <si>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</si>
  <si>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</si>
  <si>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</si>
  <si>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</si>
  <si>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</si>
  <si>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</si>
  <si>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</si>
  <si>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</si>
  <si>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</si>
  <si>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</si>
  <si>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</si>
  <si>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</si>
  <si>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</si>
  <si>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</si>
  <si>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</si>
  <si>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</si>
  <si>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</si>
  <si>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</si>
  <si>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</si>
  <si>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</si>
  <si>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</si>
  <si>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</si>
  <si>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</si>
  <si>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</si>
  <si>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</si>
  <si>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</si>
  <si>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</si>
  <si>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</si>
  <si>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</si>
  <si>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</si>
  <si>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</si>
  <si>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</si>
  <si>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</si>
  <si>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</si>
  <si>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</si>
  <si>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</si>
  <si>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</si>
  <si>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</si>
  <si>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</si>
  <si>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</si>
  <si>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</si>
  <si>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</si>
  <si>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</si>
  <si>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</si>
  <si>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</si>
  <si>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</si>
  <si>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</si>
  <si>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</si>
  <si>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</si>
  <si>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</si>
  <si>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</si>
  <si>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</si>
  <si>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</si>
  <si>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</si>
  <si>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</si>
  <si>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</si>
  <si>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</si>
  <si>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</si>
  <si>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</si>
  <si>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</si>
  <si>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</si>
  <si>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</si>
  <si>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</si>
  <si>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</si>
  <si>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</si>
  <si>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</si>
  <si>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</si>
  <si>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</si>
  <si>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</si>
  <si>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</si>
  <si>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</si>
  <si>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</si>
  <si>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</si>
  <si>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</si>
  <si>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</si>
  <si>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</si>
  <si>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</si>
  <si>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</si>
  <si>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</si>
  <si>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</si>
  <si>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</si>
  <si>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</si>
  <si>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</si>
  <si>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</si>
  <si>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</si>
  <si>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</si>
  <si>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</si>
  <si>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</si>
  <si>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</si>
  <si>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</si>
  <si>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</si>
  <si>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</si>
  <si>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</si>
  <si>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</si>
  <si>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</si>
  <si>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</si>
  <si>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</si>
  <si>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</si>
  <si>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</si>
  <si>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</si>
  <si>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</si>
  <si>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</si>
  <si>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</si>
  <si>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</si>
  <si>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</si>
  <si>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</si>
  <si>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</si>
  <si>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</si>
  <si>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</si>
  <si>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</si>
  <si>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</si>
  <si>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</si>
  <si>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</si>
  <si>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</si>
  <si>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</si>
  <si>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</si>
  <si>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</si>
  <si>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</si>
  <si>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</si>
  <si>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</si>
  <si>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</si>
  <si>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</si>
  <si>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</si>
  <si>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</si>
  <si>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</si>
  <si>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</si>
  <si>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</si>
  <si>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</si>
  <si>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</si>
  <si>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</si>
  <si>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</si>
  <si>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</si>
  <si>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</si>
  <si>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</si>
  <si>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</si>
  <si>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</si>
  <si>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</si>
  <si>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</si>
  <si>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</si>
  <si>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</si>
  <si>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</si>
  <si>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</si>
  <si>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</si>
  <si>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</si>
  <si>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</si>
  <si>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</si>
  <si>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</si>
  <si>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</si>
  <si>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</si>
  <si>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</si>
  <si>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</si>
  <si>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</si>
  <si>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</si>
  <si>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</si>
  <si>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</si>
  <si>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</si>
  <si>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</si>
  <si>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</si>
  <si>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</si>
  <si>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</si>
  <si>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</si>
  <si>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</si>
  <si>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</si>
  <si>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</si>
  <si>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</si>
  <si>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</si>
  <si>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</si>
  <si>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</si>
  <si>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</si>
  <si>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</si>
  <si>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</si>
  <si>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</si>
  <si>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</si>
  <si>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</si>
  <si>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</si>
  <si>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</si>
  <si>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</si>
  <si>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</si>
  <si>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</si>
  <si>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</si>
  <si>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</si>
  <si>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</si>
  <si>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</si>
  <si>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</si>
  <si>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</si>
  <si>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</si>
  <si>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</si>
  <si>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</si>
  <si>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</si>
  <si>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</si>
  <si>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</si>
  <si>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</si>
  <si>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</si>
  <si>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</si>
  <si>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</si>
  <si>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</si>
  <si>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</si>
  <si>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</si>
  <si>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</si>
  <si>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</si>
  <si>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</si>
  <si>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</si>
  <si>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</si>
  <si>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</si>
  <si>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</si>
  <si>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</si>
  <si>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</si>
  <si>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</si>
  <si>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</si>
  <si>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</si>
  <si>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</si>
  <si>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</si>
  <si>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</si>
  <si>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</si>
  <si>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</si>
  <si>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</si>
  <si>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</si>
  <si>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</si>
  <si>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</si>
  <si>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</si>
  <si>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</si>
  <si>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</si>
  <si>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</si>
  <si>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</si>
  <si>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</si>
  <si>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</si>
  <si>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</si>
  <si>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</si>
  <si>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</si>
  <si>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</si>
  <si>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</si>
  <si>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</si>
  <si>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</si>
  <si>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</si>
  <si>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</si>
  <si>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</si>
  <si>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</si>
  <si>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</si>
  <si>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</si>
  <si>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</si>
  <si>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</si>
  <si>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</si>
  <si>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</si>
  <si>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</si>
  <si>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</si>
  <si>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</si>
  <si>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</si>
  <si>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</si>
  <si>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</si>
  <si>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</si>
  <si>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</si>
  <si>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</si>
  <si>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</si>
  <si>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</si>
  <si>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</si>
  <si>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</si>
  <si>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</si>
  <si>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</si>
  <si>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</si>
  <si>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</si>
  <si>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</si>
  <si>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</si>
  <si>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</si>
  <si>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</si>
  <si>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</si>
  <si>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</si>
  <si>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</si>
  <si>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</si>
  <si>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</si>
  <si>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</si>
  <si>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</si>
  <si>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</si>
  <si>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</si>
  <si>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</si>
  <si>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</si>
  <si>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</si>
  <si>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</si>
  <si>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</si>
  <si>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</si>
  <si>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</si>
  <si>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</si>
  <si>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</si>
  <si>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</si>
  <si>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</si>
  <si>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</si>
  <si>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</si>
  <si>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</si>
  <si>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</si>
  <si>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</si>
  <si>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</si>
  <si>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</si>
  <si>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</si>
  <si>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</si>
  <si>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</si>
  <si>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</si>
  <si>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</si>
  <si>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</si>
  <si>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</si>
  <si>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</si>
  <si>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</si>
  <si>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</si>
  <si>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</si>
  <si>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</si>
  <si>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</si>
  <si>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</si>
  <si>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</si>
  <si>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</si>
  <si>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</si>
  <si>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</si>
  <si>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</si>
  <si>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</si>
  <si>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</si>
  <si>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</si>
  <si>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</si>
  <si>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</si>
  <si>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</si>
  <si>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</si>
  <si>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</si>
  <si>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</si>
  <si>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</si>
  <si>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</si>
  <si>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</si>
  <si>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</si>
  <si>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</si>
  <si>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</si>
  <si>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</si>
  <si>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</si>
  <si>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</si>
  <si>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</si>
  <si>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</si>
  <si>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</si>
  <si>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</si>
  <si>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</si>
  <si>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</si>
  <si>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</si>
  <si>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</si>
  <si>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</si>
  <si>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</si>
  <si>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</si>
  <si>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</si>
  <si>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</si>
  <si>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</si>
  <si>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</si>
  <si>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</si>
  <si>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</si>
  <si>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</si>
  <si>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</si>
  <si>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</si>
  <si>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</si>
  <si>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</si>
  <si>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</si>
  <si>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</si>
  <si>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</si>
  <si>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</si>
  <si>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</si>
  <si>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</si>
  <si>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</si>
  <si>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</si>
  <si>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</si>
  <si>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</si>
  <si>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</si>
  <si>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</si>
  <si>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</si>
  <si>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</si>
  <si>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</si>
  <si>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</si>
  <si>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</si>
  <si>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</si>
  <si>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</si>
  <si>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</si>
  <si>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</si>
  <si>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</si>
  <si>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</si>
  <si>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</si>
  <si>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</si>
  <si>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</si>
  <si>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</si>
  <si>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</si>
  <si>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</si>
  <si>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</si>
  <si>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</si>
  <si>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</si>
  <si>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</si>
  <si>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</si>
  <si>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</si>
  <si>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</si>
  <si>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</si>
  <si>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</si>
  <si>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</si>
  <si>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</si>
  <si>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</si>
  <si>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</si>
  <si>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</si>
  <si>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</si>
  <si>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</si>
  <si>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</si>
  <si>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</si>
  <si>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</si>
  <si>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</si>
  <si>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</si>
  <si>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</si>
  <si>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</si>
  <si>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</si>
  <si>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</si>
  <si>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</si>
  <si>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</si>
  <si>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</si>
  <si>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</si>
  <si>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</si>
  <si>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</si>
  <si>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</si>
  <si>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</si>
  <si>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</si>
  <si>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</si>
  <si>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</si>
  <si>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</si>
  <si>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</si>
  <si>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</si>
  <si>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</si>
  <si>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</si>
  <si>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</si>
  <si>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</si>
  <si>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</si>
  <si>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</si>
  <si>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</si>
  <si>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</si>
  <si>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</si>
  <si>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</si>
  <si>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</si>
  <si>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</si>
  <si>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</si>
  <si>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</si>
  <si>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</si>
  <si>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</si>
  <si>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</si>
  <si>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</si>
  <si>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</si>
  <si>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</si>
  <si>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</si>
  <si>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</si>
  <si>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</si>
  <si>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</si>
  <si>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</si>
  <si>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</si>
  <si>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</si>
  <si>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</si>
  <si>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</si>
  <si>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</si>
  <si>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</si>
  <si>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</si>
  <si>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</si>
  <si>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</si>
  <si>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</si>
  <si>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</si>
  <si>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</si>
  <si>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</si>
  <si>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</si>
  <si>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</si>
  <si>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</si>
  <si>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</si>
  <si>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</si>
  <si>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</si>
  <si>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</si>
  <si>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</si>
  <si>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</si>
  <si>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</si>
  <si>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</si>
  <si>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</si>
  <si>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</si>
  <si>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</si>
  <si>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</si>
  <si>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</si>
  <si>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</si>
  <si>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</si>
  <si>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</si>
  <si>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</si>
  <si>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</si>
  <si>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</si>
  <si>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</si>
  <si>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</si>
  <si>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</si>
  <si>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</si>
  <si>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</si>
  <si>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</si>
  <si>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</si>
  <si>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</si>
  <si>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</si>
  <si>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</si>
  <si>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</si>
  <si>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</si>
  <si>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</si>
  <si>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</si>
  <si>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</si>
  <si>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</si>
  <si>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</si>
  <si>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</si>
  <si>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</si>
  <si>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</si>
  <si>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</si>
  <si>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</si>
  <si>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</si>
  <si>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</si>
  <si>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</si>
  <si>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</si>
  <si>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</si>
  <si>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</si>
  <si>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</si>
  <si>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</si>
  <si>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</si>
  <si>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</si>
  <si>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</si>
  <si>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</si>
  <si>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</si>
  <si>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</si>
  <si>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</si>
  <si>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</si>
  <si>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</si>
  <si>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</si>
  <si>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</si>
  <si>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</si>
  <si>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</si>
  <si>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</si>
  <si>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</si>
  <si>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</si>
  <si>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</si>
  <si>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</si>
  <si>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</si>
  <si>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</si>
  <si>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</si>
  <si>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</si>
  <si>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</si>
  <si>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</si>
  <si>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</si>
  <si>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</si>
  <si>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</si>
  <si>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</si>
  <si>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</si>
  <si>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</si>
  <si>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</si>
  <si>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</si>
  <si>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</si>
  <si>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</si>
  <si>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</si>
  <si>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</si>
  <si>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</si>
  <si>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</si>
  <si>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</si>
  <si>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</si>
  <si>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</si>
  <si>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</si>
  <si>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</si>
  <si>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</si>
  <si>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</si>
  <si>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</si>
  <si>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</si>
  <si>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</si>
  <si>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</si>
  <si>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</si>
  <si>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</si>
  <si>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</si>
  <si>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</si>
  <si>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</si>
  <si>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</si>
  <si>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</si>
  <si>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</si>
  <si>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</si>
  <si>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</si>
  <si>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</si>
  <si>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</si>
  <si>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</si>
  <si>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</si>
  <si>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</si>
  <si>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</si>
  <si>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</si>
  <si>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</si>
  <si>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</si>
  <si>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</si>
  <si>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</si>
  <si>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</si>
  <si>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</si>
  <si>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</si>
  <si>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</si>
  <si>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</si>
  <si>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</si>
  <si>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</si>
  <si>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</si>
  <si>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</si>
  <si>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</si>
  <si>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</si>
  <si>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</si>
  <si>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</si>
  <si>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</si>
  <si>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</si>
  <si>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</si>
  <si>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</si>
  <si>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</si>
  <si>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</si>
  <si>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</si>
  <si>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</si>
  <si>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</si>
  <si>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</si>
  <si>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</si>
  <si>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</si>
  <si>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</si>
  <si>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</si>
  <si>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</si>
  <si>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</si>
  <si>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</si>
  <si>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</si>
  <si>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</si>
  <si>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</si>
  <si>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</si>
  <si>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</si>
  <si>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</si>
  <si>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</si>
  <si>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</si>
  <si>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</si>
  <si>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</si>
  <si>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</si>
  <si>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</si>
  <si>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</si>
  <si>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</si>
  <si>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</si>
  <si>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</si>
  <si>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</si>
  <si>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</si>
  <si>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</si>
  <si>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</si>
  <si>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</si>
  <si>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</si>
  <si>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</si>
  <si>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</si>
  <si>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</si>
  <si>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</si>
  <si>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</si>
  <si>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</si>
  <si>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</si>
  <si>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</si>
  <si>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</si>
  <si>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</si>
  <si>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</si>
  <si>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</si>
  <si>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</si>
  <si>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</si>
  <si>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</si>
  <si>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</si>
  <si>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</si>
  <si>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</si>
  <si>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</si>
  <si>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</si>
  <si>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</si>
  <si>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</si>
  <si>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</si>
  <si>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</si>
  <si>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</si>
  <si>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</si>
  <si>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</si>
  <si>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</si>
  <si>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</si>
  <si>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</si>
  <si>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</si>
  <si>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</si>
  <si>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</si>
  <si>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</si>
  <si>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</si>
  <si>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</si>
  <si>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</si>
  <si>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</si>
  <si>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</si>
  <si>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</si>
  <si>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</si>
  <si>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</si>
  <si>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</si>
  <si>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</si>
  <si>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</si>
  <si>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</si>
  <si>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</si>
  <si>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</si>
  <si>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</si>
  <si>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</si>
  <si>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</si>
  <si>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</si>
  <si>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</si>
  <si>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</si>
  <si>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</si>
  <si>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</si>
  <si>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</si>
  <si>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</si>
  <si>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</si>
  <si>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</si>
  <si>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</si>
  <si>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</si>
  <si>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</si>
  <si>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</si>
  <si>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</si>
  <si>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</si>
  <si>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</si>
  <si>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</si>
  <si>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</si>
  <si>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</si>
  <si>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</si>
  <si>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</si>
  <si>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</si>
  <si>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</si>
  <si>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</si>
  <si>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</si>
  <si>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</si>
  <si>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</si>
  <si>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</si>
  <si>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</si>
  <si>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</si>
  <si>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</si>
  <si>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</si>
  <si>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</si>
  <si>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</si>
  <si>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</si>
  <si>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</si>
  <si>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</si>
  <si>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</si>
  <si>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</si>
  <si>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</si>
  <si>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</si>
  <si>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</si>
  <si>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</si>
  <si>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</si>
  <si>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</si>
  <si>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</si>
  <si>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</si>
  <si>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</si>
  <si>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</si>
  <si>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</si>
  <si>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</si>
  <si>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</si>
  <si>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</si>
  <si>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</si>
  <si>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</si>
  <si>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</si>
  <si>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</si>
  <si>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</si>
  <si>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</si>
  <si>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</si>
  <si>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</si>
  <si>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</si>
  <si>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</si>
  <si>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</si>
  <si>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</si>
  <si>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</si>
  <si>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</si>
  <si>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</si>
  <si>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</si>
  <si>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</si>
  <si>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</si>
  <si>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</si>
  <si>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</si>
  <si>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</si>
  <si>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</si>
  <si>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</si>
  <si>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</si>
  <si>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</si>
  <si>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</si>
  <si>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</si>
  <si>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</si>
  <si>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</si>
  <si>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</si>
  <si>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</si>
  <si>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</si>
  <si>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</si>
  <si>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</si>
  <si>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</si>
  <si>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</si>
  <si>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</si>
  <si>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</si>
  <si>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</si>
  <si>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</si>
  <si>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</si>
  <si>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</si>
  <si>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</si>
  <si>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</si>
  <si>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</si>
  <si>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</si>
  <si>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</si>
  <si>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</si>
  <si>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</si>
  <si>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</si>
  <si>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</si>
  <si>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</si>
  <si>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</si>
  <si>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</si>
  <si>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</si>
  <si>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</si>
  <si>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</si>
  <si>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</si>
  <si>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</si>
  <si>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</si>
  <si>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</si>
  <si>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</si>
  <si>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</si>
  <si>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</si>
  <si>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</si>
  <si>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</si>
  <si>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</si>
  <si>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</si>
  <si>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</si>
  <si>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</si>
  <si>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</si>
  <si>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</si>
  <si>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</si>
  <si>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</si>
  <si>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</si>
  <si>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</si>
  <si>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</si>
  <si>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</si>
  <si>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</si>
  <si>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</si>
  <si>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</si>
  <si>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</si>
  <si>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</si>
  <si>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</si>
  <si>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</si>
  <si>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</si>
  <si>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</si>
  <si>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</si>
  <si>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</si>
  <si>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</si>
  <si>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</si>
  <si>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</si>
  <si>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</si>
  <si>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</si>
  <si>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</si>
  <si>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</si>
  <si>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</si>
  <si>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</si>
  <si>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</si>
  <si>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</si>
  <si>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</si>
  <si>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</si>
  <si>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</si>
  <si>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</si>
  <si>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</si>
  <si>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</si>
  <si>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</si>
  <si>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</si>
  <si>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</si>
  <si>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</si>
  <si>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</si>
  <si>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</si>
  <si>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</si>
  <si>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</si>
  <si>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</si>
  <si>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</si>
  <si>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</si>
  <si>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</si>
  <si>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</si>
  <si>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</si>
  <si>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</si>
  <si>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</si>
  <si>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</si>
  <si>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</si>
  <si>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</si>
  <si>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</si>
  <si>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</si>
  <si>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</si>
  <si>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</si>
  <si>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</si>
  <si>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</si>
  <si>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</si>
  <si>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</si>
  <si>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</si>
  <si>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</si>
  <si>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</si>
  <si>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</si>
  <si>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</si>
  <si>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</si>
  <si>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</si>
  <si>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</si>
  <si>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</si>
  <si>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</si>
  <si>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</si>
  <si>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</si>
  <si>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</si>
  <si>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</si>
  <si>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</si>
  <si>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</si>
  <si>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</si>
  <si>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</si>
  <si>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</si>
  <si>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</si>
  <si>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</si>
  <si>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</si>
  <si>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</si>
  <si>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</si>
  <si>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</si>
  <si>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</si>
  <si>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</si>
  <si>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</si>
  <si>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</si>
  <si>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</si>
  <si>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</si>
  <si>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</si>
  <si>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</si>
  <si>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</si>
  <si>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</si>
  <si>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</si>
  <si>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</si>
  <si>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</si>
  <si>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</si>
  <si>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</si>
  <si>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</si>
  <si>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</si>
  <si>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</si>
  <si>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</si>
  <si>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</si>
  <si>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</si>
  <si>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</si>
  <si>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</si>
  <si>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</si>
  <si>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</si>
  <si>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</si>
  <si>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</si>
  <si>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</si>
  <si>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</si>
  <si>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</si>
  <si>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</si>
  <si>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</si>
  <si>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</si>
  <si>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</si>
  <si>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</si>
  <si>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</si>
  <si>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</si>
  <si>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</si>
  <si>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</si>
  <si>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</si>
  <si>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</si>
  <si>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</si>
  <si>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</si>
  <si>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</si>
  <si>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</si>
  <si>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</si>
  <si>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</si>
  <si>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</si>
  <si>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</si>
  <si>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</si>
  <si>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</si>
  <si>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</si>
  <si>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</si>
  <si>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</si>
  <si>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</si>
  <si>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</si>
  <si>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</si>
  <si>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</si>
  <si>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</si>
  <si>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</si>
  <si>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</si>
  <si>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</si>
  <si>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</si>
  <si>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</si>
  <si>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</si>
  <si>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</si>
  <si>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</si>
  <si>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</si>
  <si>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</si>
  <si>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</si>
  <si>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</si>
  <si>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</si>
  <si>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</si>
  <si>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</si>
  <si>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</si>
  <si>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</si>
  <si>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</si>
  <si>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</si>
  <si>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</si>
  <si>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</si>
  <si>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</si>
  <si>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</si>
  <si>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</si>
  <si>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</si>
  <si>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</si>
  <si>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</si>
  <si>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</si>
  <si>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</si>
  <si>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</si>
  <si>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</si>
  <si>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</si>
  <si>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</si>
  <si>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</si>
  <si>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</si>
  <si>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</si>
  <si>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</si>
  <si>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</si>
  <si>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</si>
  <si>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</si>
  <si>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</si>
  <si>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</si>
  <si>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</si>
  <si>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</si>
  <si>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</si>
  <si>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</si>
  <si>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</si>
  <si>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</si>
  <si>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</si>
  <si>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</si>
  <si>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</si>
  <si>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</si>
  <si>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</si>
  <si>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</si>
  <si>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</si>
  <si>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</si>
  <si>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</si>
  <si>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</si>
  <si>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</si>
  <si>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</si>
  <si>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</si>
  <si>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</si>
  <si>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</si>
  <si>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</si>
  <si>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</si>
  <si>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</si>
  <si>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</si>
  <si>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</si>
  <si>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</si>
  <si>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</si>
  <si>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</si>
  <si>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</si>
  <si>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</si>
  <si>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</si>
  <si>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</si>
  <si>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</si>
  <si>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</si>
  <si>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</si>
  <si>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</si>
  <si>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</si>
  <si>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</si>
  <si>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</si>
  <si>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</si>
  <si>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</si>
  <si>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</si>
  <si>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</si>
  <si>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</si>
  <si>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</si>
  <si>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</si>
  <si>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</si>
  <si>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</si>
  <si>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</si>
  <si>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</si>
  <si>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</si>
  <si>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</si>
  <si>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</si>
  <si>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</si>
  <si>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</si>
  <si>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</si>
  <si>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</si>
  <si>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</si>
  <si>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</si>
  <si>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</si>
  <si>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</si>
  <si>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</si>
  <si>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</si>
  <si>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</si>
  <si>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</si>
  <si>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</si>
  <si>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</si>
  <si>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</si>
  <si>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</si>
  <si>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</si>
  <si>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</si>
  <si>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</si>
  <si>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</si>
  <si>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</si>
  <si>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</si>
  <si>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</si>
  <si>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</si>
  <si>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</si>
  <si>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</si>
  <si>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</si>
  <si>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</si>
  <si>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</si>
  <si>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</si>
  <si>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</si>
  <si>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</si>
  <si>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</si>
  <si>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</si>
  <si>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</si>
  <si>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</si>
  <si>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</si>
  <si>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</si>
  <si>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</si>
  <si>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</si>
  <si>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</si>
  <si>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</si>
  <si>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</si>
  <si>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</si>
  <si>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</si>
  <si>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</si>
  <si>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</si>
  <si>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</si>
  <si>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</si>
  <si>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</si>
  <si>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</si>
  <si>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</si>
  <si>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</si>
  <si>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</si>
  <si>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</si>
  <si>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</si>
  <si>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</si>
  <si>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</si>
  <si>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</si>
  <si>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</si>
  <si>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</si>
  <si>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</si>
  <si>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</si>
  <si>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</si>
  <si>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</si>
  <si>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</si>
  <si>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</si>
  <si>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</si>
  <si>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</si>
  <si>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</si>
  <si>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</si>
  <si>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</si>
  <si>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</si>
  <si>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</si>
  <si>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</si>
  <si>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</si>
  <si>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</si>
  <si>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</si>
  <si>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</si>
  <si>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</si>
  <si>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</si>
  <si>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</si>
  <si>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</si>
  <si>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</si>
  <si>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</si>
  <si>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</si>
  <si>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</si>
  <si>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</si>
  <si>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</si>
  <si>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</si>
  <si>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</si>
  <si>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</si>
  <si>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</si>
  <si>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</si>
  <si>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</si>
  <si>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</si>
  <si>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</si>
  <si>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</si>
  <si>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</si>
  <si>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</si>
  <si>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</si>
  <si>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</si>
  <si>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</si>
  <si>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</si>
  <si>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</si>
  <si>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</si>
  <si>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</si>
  <si>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</si>
  <si>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</si>
  <si>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</si>
  <si>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</si>
  <si>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</si>
  <si>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</si>
  <si>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</si>
  <si>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</si>
  <si>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</si>
  <si>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</si>
  <si>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</si>
  <si>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</si>
  <si>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</si>
  <si>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</si>
  <si>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</si>
  <si>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</si>
  <si>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</si>
  <si>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</si>
  <si>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</si>
  <si>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</si>
  <si>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</si>
  <si>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</si>
  <si>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</si>
  <si>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</si>
  <si>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</si>
  <si>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</si>
  <si>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</si>
  <si>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</si>
  <si>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</si>
  <si>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</si>
  <si>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</si>
  <si>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</si>
  <si>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</si>
  <si>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</si>
  <si>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</si>
  <si>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</si>
  <si>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</si>
  <si>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</si>
  <si>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</si>
  <si>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</si>
  <si>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</si>
  <si>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</si>
  <si>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</si>
  <si>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</si>
  <si>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</si>
  <si>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</si>
  <si>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</si>
  <si>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</si>
  <si>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</si>
  <si>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</si>
  <si>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</si>
  <si>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</si>
  <si>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</si>
  <si>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</si>
  <si>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</si>
  <si>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</si>
  <si>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</si>
  <si>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</si>
  <si>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</si>
  <si>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</si>
  <si>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</si>
  <si>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</si>
  <si>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</si>
  <si>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</si>
  <si>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</si>
  <si>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</si>
  <si>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</si>
  <si>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</si>
  <si>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</si>
  <si>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</si>
  <si>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</si>
  <si>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</si>
  <si>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</si>
  <si>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</si>
  <si>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</si>
  <si>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</si>
  <si>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</si>
  <si>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</si>
  <si>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</si>
  <si>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</si>
  <si>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</si>
  <si>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</si>
  <si>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</si>
  <si>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</si>
  <si>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</si>
  <si>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</si>
  <si>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</si>
  <si>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</si>
  <si>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</si>
  <si>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</si>
  <si>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</si>
  <si>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</si>
  <si>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</si>
  <si>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</si>
  <si>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</si>
  <si>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</si>
  <si>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</si>
  <si>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</si>
  <si>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</si>
  <si>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</si>
  <si>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</si>
  <si>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</si>
  <si>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</si>
  <si>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</si>
  <si>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</si>
  <si>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</si>
  <si>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</si>
  <si>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</si>
  <si>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</si>
  <si>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</si>
  <si>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</si>
  <si>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</si>
  <si>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</si>
  <si>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</si>
  <si>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</si>
  <si>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</si>
  <si>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</si>
  <si>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</si>
  <si>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</si>
  <si>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</si>
  <si>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</si>
  <si>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</si>
  <si>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</si>
  <si>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</si>
  <si>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</si>
  <si>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</si>
  <si>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</si>
  <si>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</si>
  <si>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</si>
  <si>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</si>
  <si>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</si>
  <si>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</si>
  <si>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</si>
  <si>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</si>
  <si>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</si>
  <si>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</si>
  <si>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</si>
  <si>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</si>
  <si>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</si>
  <si>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</si>
  <si>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</si>
  <si>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</si>
  <si>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</si>
  <si>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</si>
  <si>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</si>
  <si>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</si>
  <si>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</si>
  <si>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</si>
  <si>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</si>
  <si>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</si>
  <si>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</si>
  <si>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</si>
  <si>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</si>
  <si>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</si>
  <si>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</si>
  <si>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</si>
  <si>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</si>
  <si>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</si>
  <si>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</si>
  <si>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</si>
  <si>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</si>
  <si>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</si>
  <si>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</si>
  <si>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</si>
  <si>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</si>
  <si>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</si>
  <si>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</si>
  <si>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</si>
  <si>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</si>
  <si>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</si>
  <si>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</si>
  <si>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</si>
  <si>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</si>
  <si>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</si>
  <si>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</si>
  <si>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</si>
  <si>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</si>
  <si>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</si>
  <si>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</si>
  <si>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</si>
  <si>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</si>
  <si>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</si>
  <si>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</si>
  <si>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</si>
  <si>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</si>
  <si>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</si>
  <si>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</si>
  <si>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</si>
  <si>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</si>
  <si>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</si>
  <si>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</si>
  <si>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</si>
  <si>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</si>
  <si>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</si>
  <si>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</si>
  <si>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</si>
  <si>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</si>
  <si>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</si>
  <si>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</si>
  <si>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</si>
  <si>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</si>
  <si>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</si>
  <si>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</si>
  <si>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</si>
  <si>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</si>
  <si>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</si>
  <si>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</si>
  <si>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</si>
  <si>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</si>
  <si>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</si>
  <si>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</si>
  <si>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</si>
  <si>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</si>
  <si>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</si>
  <si>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</si>
  <si>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</si>
  <si>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</si>
  <si>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</si>
  <si>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</si>
  <si>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</si>
  <si>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</si>
  <si>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</si>
  <si>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</si>
  <si>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</si>
  <si>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</si>
  <si>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</si>
  <si>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</si>
  <si>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</si>
  <si>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</si>
  <si>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</si>
  <si>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</si>
  <si>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</si>
  <si>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</si>
  <si>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</si>
  <si>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</si>
  <si>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</si>
  <si>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</si>
  <si>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</si>
  <si>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</si>
  <si>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</si>
  <si>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</si>
  <si>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</si>
  <si>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</si>
  <si>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</si>
  <si>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</si>
  <si>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</si>
  <si>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</si>
  <si>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</si>
  <si>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</si>
  <si>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</si>
  <si>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</si>
  <si>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</si>
  <si>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</si>
  <si>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</si>
  <si>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</si>
  <si>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</si>
  <si>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</si>
  <si>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</si>
  <si>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</si>
  <si>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</si>
  <si>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</si>
  <si>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</si>
  <si>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</si>
  <si>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</si>
  <si>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</si>
  <si>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</si>
  <si>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</si>
  <si>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</si>
  <si>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</si>
  <si>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</si>
  <si>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</si>
  <si>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</si>
  <si>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</si>
  <si>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</si>
  <si>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</si>
  <si>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</si>
  <si>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</si>
  <si>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</si>
  <si>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</si>
  <si>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</si>
  <si>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</si>
  <si>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</si>
  <si>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</si>
  <si>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</si>
  <si>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</si>
  <si>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</si>
  <si>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</si>
  <si>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</si>
  <si>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</si>
  <si>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</si>
  <si>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</si>
  <si>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</si>
  <si>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</si>
  <si>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</si>
  <si>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</si>
  <si>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</si>
  <si>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</si>
  <si>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</si>
  <si>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</si>
  <si>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</si>
  <si>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</si>
  <si>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</si>
  <si>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</si>
  <si>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</si>
  <si>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</si>
  <si>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</si>
  <si>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</si>
  <si>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</si>
  <si>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</si>
  <si>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</si>
  <si>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</si>
  <si>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</si>
  <si>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</si>
  <si>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</si>
  <si>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</si>
  <si>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</si>
  <si>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</si>
  <si>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</si>
  <si>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</si>
  <si>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</si>
  <si>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</si>
  <si>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</si>
  <si>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</si>
  <si>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</si>
  <si>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</si>
  <si>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</si>
  <si>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</si>
  <si>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</si>
  <si>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</si>
  <si>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</si>
  <si>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</si>
  <si>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</si>
  <si>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</si>
  <si>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</si>
  <si>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</si>
  <si>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</si>
  <si>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</si>
  <si>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</si>
  <si>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</si>
  <si>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</si>
  <si>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</si>
  <si>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</si>
  <si>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</si>
  <si>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</si>
  <si>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</si>
  <si>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</si>
  <si>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</si>
  <si>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</si>
  <si>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</si>
  <si>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</si>
  <si>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</si>
  <si>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</si>
  <si>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</si>
  <si>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</si>
  <si>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</si>
  <si>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</si>
  <si>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</si>
  <si>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</si>
  <si>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</si>
  <si>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</si>
  <si>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</si>
  <si>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</si>
  <si>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</si>
  <si>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</si>
  <si>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</si>
  <si>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</si>
  <si>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</si>
  <si>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</si>
  <si>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</si>
  <si>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</si>
  <si>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</si>
  <si>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</si>
  <si>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</si>
  <si>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</si>
  <si>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</si>
  <si>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</si>
  <si>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</si>
  <si>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</si>
  <si>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</si>
  <si>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</si>
  <si>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</si>
  <si>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</si>
  <si>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</si>
  <si>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</si>
  <si>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</si>
  <si>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</si>
  <si>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</si>
  <si>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</si>
  <si>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</si>
  <si>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</si>
  <si>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</si>
  <si>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</si>
  <si>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</si>
  <si>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</si>
  <si>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</si>
  <si>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</si>
  <si>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</si>
  <si>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</si>
  <si>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</si>
  <si>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</si>
  <si>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</si>
  <si>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</si>
  <si>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</si>
  <si>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</si>
  <si>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</si>
  <si>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</si>
  <si>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</si>
  <si>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</si>
  <si>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</si>
  <si>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</si>
  <si>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</si>
  <si>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</si>
  <si>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</si>
  <si>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</si>
  <si>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</si>
  <si>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</si>
  <si>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</si>
  <si>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</si>
  <si>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</si>
  <si>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</si>
  <si>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</si>
  <si>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</si>
  <si>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</si>
  <si>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</si>
  <si>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</si>
  <si>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</si>
  <si>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</si>
  <si>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</si>
  <si>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</si>
  <si>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</si>
  <si>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</si>
  <si>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</si>
  <si>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</si>
  <si>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</si>
  <si>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</si>
  <si>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</si>
  <si>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</si>
  <si>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</si>
  <si>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</si>
  <si>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</si>
  <si>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</si>
  <si>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</si>
  <si>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</si>
  <si>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</si>
  <si>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</si>
  <si>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</si>
  <si>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</si>
  <si>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</si>
  <si>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</si>
  <si>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</si>
  <si>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</si>
  <si>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</si>
  <si>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</si>
  <si>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</si>
  <si>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</si>
  <si>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</si>
  <si>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</si>
  <si>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</si>
  <si>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</si>
  <si>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</si>
  <si>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</si>
  <si>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</si>
  <si>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</si>
  <si>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</si>
  <si>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</si>
  <si>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</si>
  <si>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</si>
  <si>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</si>
  <si>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</si>
  <si>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</si>
  <si>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</si>
  <si>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</si>
  <si>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</si>
  <si>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</si>
  <si>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</si>
  <si>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</si>
  <si>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</si>
  <si>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</si>
  <si>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</si>
  <si>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</si>
  <si>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</si>
  <si>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</si>
  <si>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</si>
  <si>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</si>
  <si>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</si>
  <si>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</si>
  <si>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</si>
  <si>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</si>
  <si>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</si>
  <si>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</si>
  <si>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</si>
  <si>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</si>
  <si>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</si>
  <si>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</si>
  <si>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</si>
  <si>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</si>
  <si>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</si>
  <si>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</si>
  <si>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</si>
  <si>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</si>
  <si>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</si>
  <si>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</si>
  <si>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</si>
  <si>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</si>
  <si>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</si>
  <si>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</si>
  <si>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</si>
  <si>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</si>
  <si>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</si>
  <si>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</si>
  <si>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</si>
  <si>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</si>
  <si>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</si>
  <si>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</si>
  <si>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</si>
  <si>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</si>
  <si>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</si>
  <si>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</si>
  <si>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</si>
  <si>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</si>
  <si>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</si>
  <si>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</si>
  <si>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</si>
  <si>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</si>
  <si>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</si>
  <si>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</si>
  <si>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</si>
  <si>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</si>
  <si>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</si>
  <si>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</si>
  <si>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</si>
  <si>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</si>
  <si>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</si>
  <si>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</si>
  <si>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</si>
  <si>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</si>
  <si>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</si>
  <si>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</si>
  <si>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</si>
  <si>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</si>
  <si>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</si>
  <si>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</si>
  <si>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</si>
  <si>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</si>
  <si>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</si>
  <si>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</si>
  <si>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</si>
  <si>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</si>
  <si>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</si>
  <si>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</si>
  <si>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</si>
  <si>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</si>
  <si>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</si>
  <si>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</si>
  <si>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</si>
  <si>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</si>
  <si>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</si>
  <si>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</si>
  <si>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</si>
  <si>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</si>
  <si>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</si>
  <si>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</si>
  <si>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</si>
  <si>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</si>
  <si>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</si>
  <si>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</si>
  <si>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</si>
  <si>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</si>
  <si>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</si>
  <si>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</si>
  <si>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</si>
  <si>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</si>
  <si>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</si>
  <si>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</si>
  <si>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</si>
  <si>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</si>
  <si>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</si>
  <si>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</si>
  <si>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</si>
  <si>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</si>
  <si>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</si>
  <si>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</si>
  <si>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</si>
  <si>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</si>
  <si>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</si>
  <si>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</si>
  <si>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</si>
  <si>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</si>
  <si>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</si>
  <si>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</si>
  <si>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</si>
  <si>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</si>
  <si>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</si>
  <si>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</si>
  <si>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</si>
  <si>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</si>
  <si>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</si>
  <si>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</si>
  <si>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</si>
  <si>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</si>
  <si>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</si>
  <si>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</si>
  <si>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</si>
  <si>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</si>
  <si>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</si>
  <si>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</si>
  <si>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</si>
  <si>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</si>
  <si>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</si>
  <si>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</si>
  <si>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</si>
  <si>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</si>
  <si>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</si>
  <si>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</si>
  <si>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</si>
  <si>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</si>
  <si>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</si>
  <si>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</si>
  <si>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</si>
  <si>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</si>
  <si>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</si>
  <si>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</si>
  <si>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</si>
  <si>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</si>
  <si>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</si>
  <si>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</si>
  <si>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</si>
  <si>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</si>
  <si>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</si>
  <si>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</si>
  <si>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</si>
  <si>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</si>
  <si>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</si>
  <si>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</si>
  <si>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</si>
  <si>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</si>
  <si>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</si>
  <si>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</si>
  <si>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</si>
  <si>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</si>
  <si>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</si>
  <si>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</si>
  <si>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</si>
  <si>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</si>
  <si>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</si>
  <si>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</si>
  <si>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</si>
  <si>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</si>
  <si>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</si>
  <si>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</si>
  <si>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</si>
  <si>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</si>
  <si>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</si>
  <si>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</si>
  <si>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</si>
  <si>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</si>
  <si>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</si>
  <si>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</si>
  <si>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</si>
  <si>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</si>
  <si>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</si>
  <si>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</si>
  <si>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</si>
  <si>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</si>
  <si>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</si>
  <si>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</si>
  <si>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</si>
  <si>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</si>
  <si>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</si>
  <si>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</si>
  <si>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</si>
  <si>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</si>
  <si>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</si>
  <si>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</si>
  <si>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</si>
  <si>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</si>
  <si>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</si>
  <si>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</si>
  <si>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</si>
  <si>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</si>
  <si>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</si>
  <si>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</si>
  <si>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</si>
  <si>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</si>
  <si>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</si>
  <si>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</si>
  <si>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</si>
  <si>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</si>
  <si>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</si>
  <si>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</si>
  <si>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</si>
  <si>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</si>
  <si>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</si>
  <si>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</si>
  <si>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</si>
  <si>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</si>
  <si>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</si>
  <si>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</si>
  <si>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</si>
  <si>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</si>
  <si>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</si>
  <si>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</si>
  <si>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</si>
  <si>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</si>
  <si>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</si>
  <si>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</si>
  <si>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</si>
  <si>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</si>
  <si>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</si>
  <si>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</si>
  <si>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</si>
  <si>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</si>
  <si>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</si>
  <si>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</si>
  <si>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</si>
  <si>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</si>
  <si>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</si>
  <si>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</si>
  <si>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</si>
  <si>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</si>
  <si>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</si>
  <si>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</si>
  <si>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</si>
  <si>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</si>
  <si>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</si>
  <si>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</si>
  <si>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</si>
  <si>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</si>
  <si>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</si>
  <si>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</si>
  <si>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</si>
  <si>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</si>
  <si>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</si>
  <si>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</si>
  <si>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</si>
  <si>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</si>
  <si>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</si>
  <si>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</si>
  <si>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</si>
  <si>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</si>
  <si>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</si>
  <si>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</si>
  <si>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</si>
  <si>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</si>
  <si>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</si>
  <si>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</si>
  <si>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</si>
  <si>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</si>
  <si>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</si>
  <si>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</si>
  <si>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</si>
  <si>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</si>
  <si>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</si>
  <si>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</si>
  <si>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</si>
  <si>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</si>
  <si>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</si>
  <si>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</si>
  <si>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</si>
  <si>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</si>
  <si>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</si>
  <si>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</si>
  <si>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</si>
  <si>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</si>
  <si>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</si>
  <si>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</si>
  <si>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</si>
  <si>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</si>
  <si>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</si>
  <si>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</si>
  <si>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</si>
  <si>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</si>
  <si>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</si>
  <si>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</si>
  <si>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</si>
  <si>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</si>
  <si>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</si>
  <si>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</si>
  <si>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</si>
  <si>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</si>
  <si>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</si>
  <si>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</si>
  <si>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</si>
  <si>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</si>
  <si>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</si>
  <si>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</si>
  <si>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</si>
  <si>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</si>
  <si>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</si>
  <si>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</si>
  <si>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</si>
  <si>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</si>
  <si>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</si>
  <si>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</si>
  <si>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</si>
  <si>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</si>
  <si>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</si>
  <si>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</si>
  <si>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</si>
  <si>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</si>
  <si>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</si>
  <si>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</si>
  <si>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</si>
  <si>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</si>
  <si>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</si>
  <si>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</si>
  <si>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</si>
  <si>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</si>
  <si>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</si>
  <si>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</si>
  <si>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</si>
  <si>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</si>
  <si>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</si>
  <si>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</si>
  <si>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</si>
  <si>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</si>
  <si>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</si>
  <si>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</si>
  <si>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</si>
  <si>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</si>
  <si>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</si>
  <si>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</si>
  <si>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</si>
  <si>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</si>
  <si>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</si>
  <si>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</si>
  <si>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</si>
  <si>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</si>
  <si>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</si>
  <si>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</si>
  <si>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</si>
  <si>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</si>
  <si>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</si>
  <si>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</si>
  <si>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</si>
  <si>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</si>
  <si>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</si>
  <si>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</si>
  <si>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</si>
  <si>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</si>
  <si>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</si>
  <si>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</si>
  <si>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</si>
  <si>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</si>
  <si>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</si>
  <si>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</si>
  <si>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</si>
  <si>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</si>
  <si>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</si>
  <si>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</si>
  <si>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</si>
  <si>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</si>
  <si>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</si>
  <si>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</si>
  <si>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</si>
  <si>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</si>
  <si>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</si>
  <si>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</si>
  <si>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</si>
  <si>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</si>
  <si>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</si>
  <si>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</si>
  <si>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</si>
  <si>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</si>
  <si>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</si>
  <si>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</si>
  <si>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</si>
  <si>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</si>
  <si>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</si>
  <si>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</si>
  <si>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</si>
  <si>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</si>
  <si>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</si>
  <si>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</si>
  <si>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</si>
  <si>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</si>
  <si>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</si>
  <si>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</si>
  <si>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</si>
  <si>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</si>
  <si>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</si>
  <si>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</si>
  <si>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</si>
  <si>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</si>
  <si>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</si>
  <si>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</si>
  <si>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</si>
  <si>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</si>
  <si>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</si>
  <si>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</si>
  <si>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</si>
  <si>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</si>
  <si>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</si>
  <si>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</si>
  <si>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</si>
  <si>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</si>
  <si>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</si>
  <si>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</si>
  <si>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</si>
  <si>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</si>
  <si>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</si>
  <si>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</si>
  <si>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</si>
  <si>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</si>
  <si>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</si>
  <si>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</si>
  <si>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</si>
  <si>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</si>
  <si>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</si>
  <si>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</si>
  <si>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</si>
  <si>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</si>
  <si>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</si>
  <si>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</si>
  <si>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</si>
  <si>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</si>
  <si>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</si>
  <si>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</si>
  <si>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</si>
  <si>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</si>
  <si>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</si>
  <si>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</si>
  <si>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</si>
  <si>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</si>
  <si>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</si>
  <si>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</si>
  <si>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</si>
  <si>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</si>
  <si>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</si>
  <si>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</si>
  <si>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</si>
  <si>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</si>
  <si>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</si>
  <si>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</si>
  <si>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</si>
  <si>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</si>
  <si>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</si>
  <si>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</si>
  <si>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</si>
  <si>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</si>
  <si>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</si>
  <si>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</si>
  <si>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</si>
  <si>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</si>
  <si>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</si>
  <si>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</si>
  <si>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</si>
  <si>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</si>
  <si>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</si>
  <si>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</si>
  <si>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</si>
  <si>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</si>
  <si>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</si>
  <si>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</si>
  <si>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</si>
  <si>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</si>
  <si>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</si>
  <si>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</si>
  <si>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</si>
  <si>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</si>
  <si>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</si>
  <si>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</si>
  <si>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</si>
  <si>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</si>
  <si>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</si>
  <si>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</si>
  <si>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</si>
  <si>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</si>
  <si>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</si>
  <si>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</si>
  <si>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</si>
  <si>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</si>
  <si>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</si>
  <si>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</si>
  <si>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</si>
  <si>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</si>
  <si>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</si>
  <si>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</si>
  <si>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</si>
  <si>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</si>
  <si>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</si>
  <si>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</si>
  <si>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</si>
  <si>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</si>
  <si>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</si>
  <si>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</si>
  <si>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</si>
  <si>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</si>
  <si>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</si>
  <si>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</si>
  <si>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</si>
  <si>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</si>
  <si>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</si>
  <si>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</si>
  <si>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</si>
  <si>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</si>
  <si>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</si>
  <si>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</si>
  <si>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</si>
  <si>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</si>
  <si>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</si>
  <si>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</si>
  <si>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</si>
  <si>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</si>
  <si>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</si>
  <si>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</si>
  <si>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</si>
  <si>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</si>
  <si>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</si>
  <si>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</si>
  <si>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</si>
  <si>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</si>
  <si>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</si>
  <si>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</si>
  <si>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</si>
  <si>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</si>
  <si>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</si>
  <si>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</si>
  <si>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</si>
  <si>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</si>
  <si>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</si>
  <si>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</si>
  <si>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</si>
  <si>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</si>
  <si>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</si>
  <si>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</si>
  <si>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</si>
  <si>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</si>
  <si>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</si>
  <si>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</si>
  <si>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</si>
  <si>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</si>
  <si>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</si>
  <si>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</si>
  <si>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</si>
  <si>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</si>
  <si>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</si>
  <si>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</si>
  <si>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</si>
  <si>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</si>
  <si>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</si>
  <si>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</si>
  <si>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</si>
  <si>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</si>
  <si>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</si>
  <si>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</si>
  <si>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</si>
  <si>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</si>
  <si>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</si>
  <si>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</si>
  <si>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</si>
  <si>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</si>
  <si>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</si>
  <si>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</si>
  <si>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</si>
  <si>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</si>
  <si>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</si>
  <si>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</si>
  <si>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</si>
  <si>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</si>
  <si>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</si>
  <si>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</si>
  <si>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</si>
  <si>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</si>
  <si>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</si>
  <si>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</si>
  <si>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</si>
  <si>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</si>
  <si>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</si>
  <si>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</si>
  <si>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</si>
  <si>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</si>
  <si>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</si>
  <si>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</si>
  <si>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</si>
  <si>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</si>
  <si>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</si>
  <si>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</si>
  <si>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</si>
  <si>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</si>
  <si>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</si>
  <si>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</si>
  <si>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</si>
  <si>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</si>
  <si>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</si>
  <si>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</si>
  <si>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</si>
  <si>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</si>
  <si>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</si>
  <si>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</si>
  <si>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</si>
  <si>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</si>
  <si>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</si>
  <si>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</si>
  <si>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</si>
  <si>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</si>
  <si>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</si>
  <si>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</si>
  <si>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</si>
  <si>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</si>
  <si>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</si>
  <si>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</si>
  <si>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</si>
  <si>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</si>
  <si>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</si>
  <si>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</si>
  <si>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</si>
  <si>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</si>
  <si>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</si>
  <si>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</si>
  <si>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</si>
  <si>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</si>
  <si>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</si>
  <si>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</si>
  <si>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</si>
  <si>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</si>
  <si>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</si>
  <si>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</si>
  <si>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</si>
  <si>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</si>
  <si>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</si>
  <si>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</si>
  <si>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</si>
  <si>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</si>
  <si>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</si>
  <si>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</si>
  <si>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</si>
  <si>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</si>
  <si>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</si>
  <si>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</si>
  <si>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</si>
  <si>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</si>
  <si>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</si>
  <si>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</si>
  <si>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</si>
  <si>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</si>
  <si>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</si>
  <si>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</si>
  <si>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</si>
  <si>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</si>
  <si>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</si>
  <si>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</si>
  <si>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</si>
  <si>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</si>
  <si>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</si>
  <si>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</si>
  <si>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</si>
  <si>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</si>
  <si>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</si>
  <si>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</si>
  <si>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</si>
  <si>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</si>
  <si>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</si>
  <si>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</si>
  <si>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</si>
  <si>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</si>
  <si>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</si>
  <si>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</si>
  <si>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</si>
  <si>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</si>
  <si>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</si>
  <si>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</si>
  <si>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</si>
  <si>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</si>
  <si>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</si>
  <si>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</si>
  <si>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</si>
  <si>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</si>
  <si>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</si>
  <si>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</si>
  <si>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</si>
  <si>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</si>
  <si>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</si>
  <si>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</si>
  <si>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</si>
  <si>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</si>
  <si>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</si>
  <si>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</si>
  <si>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</si>
  <si>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</si>
  <si>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</si>
  <si>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</si>
  <si>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</si>
  <si>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</si>
  <si>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</si>
  <si>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</si>
  <si>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</si>
  <si>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</si>
  <si>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</si>
  <si>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</si>
  <si>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</si>
  <si>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</si>
  <si>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</si>
  <si>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</si>
  <si>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</si>
  <si>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</si>
  <si>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</si>
  <si>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</si>
  <si>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</si>
  <si>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</si>
  <si>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</si>
  <si>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</si>
  <si>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</si>
  <si>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</si>
  <si>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</si>
  <si>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</si>
  <si>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</si>
  <si>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</si>
  <si>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</si>
  <si>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</si>
  <si>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</si>
  <si>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</si>
  <si>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</si>
  <si>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</si>
  <si>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</si>
  <si>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</si>
  <si>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</si>
  <si>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</si>
  <si>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</si>
  <si>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</si>
  <si>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</si>
  <si>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</si>
  <si>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</si>
  <si>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</si>
  <si>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</si>
  <si>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</si>
  <si>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</si>
  <si>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</si>
  <si>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</si>
  <si>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</si>
  <si>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</si>
  <si>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</si>
  <si>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</si>
  <si>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</si>
  <si>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</si>
  <si>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</si>
  <si>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</si>
  <si>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</si>
  <si>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</si>
  <si>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</si>
  <si>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</si>
  <si>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</si>
  <si>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</si>
  <si>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</si>
  <si>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</si>
  <si>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</si>
  <si>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</si>
  <si>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</si>
  <si>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</si>
  <si>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</si>
  <si>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</si>
  <si>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</si>
  <si>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</si>
  <si>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</si>
  <si>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</si>
  <si>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</si>
  <si>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</si>
  <si>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</si>
  <si>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</si>
  <si>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</si>
  <si>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</si>
  <si>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</si>
  <si>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</si>
  <si>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</si>
  <si>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</si>
  <si>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</si>
  <si>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</si>
  <si>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</si>
  <si>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</si>
  <si>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</si>
  <si>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</si>
  <si>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</si>
  <si>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</si>
  <si>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</si>
  <si>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</si>
  <si>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</si>
  <si>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</si>
  <si>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</si>
  <si>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</si>
  <si>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</si>
  <si>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</si>
  <si>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</si>
  <si>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</si>
  <si>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</si>
  <si>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</si>
  <si>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</si>
  <si>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</si>
  <si>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</si>
  <si>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</si>
  <si>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</si>
  <si>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</si>
  <si>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</si>
  <si>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</si>
  <si>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</si>
  <si>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</si>
  <si>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</si>
  <si>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</si>
  <si>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</si>
  <si>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</si>
  <si>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</si>
  <si>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</si>
  <si>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</si>
  <si>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</si>
  <si>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</si>
  <si>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</si>
  <si>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</si>
  <si>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</si>
  <si>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</si>
  <si>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</si>
  <si>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</si>
  <si>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</si>
  <si>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</si>
  <si>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</si>
  <si>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</si>
  <si>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</si>
  <si>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</si>
  <si>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</si>
  <si>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</si>
  <si>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</si>
  <si>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</si>
  <si>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</si>
  <si>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</si>
  <si>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</si>
  <si>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</si>
  <si>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</si>
  <si>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</si>
  <si>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</si>
  <si>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</si>
  <si>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</si>
  <si>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</si>
  <si>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</si>
  <si>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</si>
  <si>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</si>
  <si>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</si>
  <si>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</si>
  <si>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</si>
  <si>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</si>
  <si>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</si>
  <si>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</si>
  <si>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</si>
  <si>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</si>
  <si>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</si>
  <si>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</si>
  <si>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</si>
  <si>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</si>
  <si>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</si>
  <si>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</si>
  <si>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</si>
  <si>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</si>
  <si>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</si>
  <si>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</si>
  <si>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</si>
  <si>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</si>
  <si>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</si>
  <si>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</si>
  <si>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</si>
  <si>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</si>
  <si>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</si>
  <si>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</si>
  <si>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</si>
  <si>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</si>
  <si>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</si>
  <si>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</si>
  <si>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</si>
  <si>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</si>
  <si>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</si>
  <si>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</si>
  <si>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</si>
  <si>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</si>
  <si>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</si>
  <si>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</si>
  <si>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</si>
  <si>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</si>
  <si>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</si>
  <si>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</si>
  <si>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</si>
  <si>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</si>
  <si>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</si>
  <si>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</si>
  <si>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</si>
  <si>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</si>
  <si>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</si>
  <si>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</si>
  <si>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</si>
  <si>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</si>
  <si>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</si>
  <si>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</si>
  <si>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</si>
  <si>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</si>
  <si>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</si>
  <si>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</si>
  <si>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</si>
  <si>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</si>
  <si>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</si>
  <si>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</si>
  <si>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</si>
  <si>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</si>
  <si>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</si>
  <si>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</si>
  <si>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</si>
  <si>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</si>
  <si>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</si>
  <si>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</si>
  <si>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</si>
  <si>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</si>
  <si>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</si>
  <si>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</si>
  <si>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</si>
  <si>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</si>
  <si>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</si>
  <si>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</si>
  <si>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</si>
  <si>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</si>
  <si>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</si>
  <si>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</si>
  <si>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</si>
  <si>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</si>
  <si>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</si>
  <si>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</si>
  <si>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</si>
  <si>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</si>
  <si>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</si>
  <si>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</si>
  <si>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</si>
  <si>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</si>
  <si>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</si>
  <si>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</si>
  <si>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</si>
  <si>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</si>
  <si>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</si>
  <si>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</si>
  <si>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</si>
  <si>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</si>
  <si>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</si>
  <si>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</si>
  <si>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</si>
  <si>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</si>
  <si>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</si>
  <si>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</si>
  <si>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</si>
  <si>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</si>
  <si>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</si>
  <si>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</si>
  <si>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</si>
  <si>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</si>
  <si>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</si>
  <si>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</si>
  <si>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</si>
  <si>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</si>
  <si>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</si>
  <si>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</si>
  <si>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</si>
  <si>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</si>
  <si>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</si>
  <si>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</si>
  <si>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</si>
  <si>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</si>
  <si>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</si>
  <si>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</si>
  <si>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</si>
  <si>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</si>
  <si>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</si>
  <si>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</si>
  <si>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</si>
  <si>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</si>
  <si>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</si>
  <si>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</si>
  <si>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</si>
  <si>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</si>
  <si>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</si>
  <si>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</si>
  <si>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</si>
  <si>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</si>
  <si>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</si>
  <si>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</si>
  <si>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</si>
  <si>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</si>
  <si>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</si>
  <si>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</si>
  <si>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</si>
  <si>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</si>
  <si>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</si>
  <si>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</si>
  <si>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</si>
  <si>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</si>
  <si>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</si>
  <si>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</si>
  <si>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</si>
  <si>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</si>
  <si>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</si>
  <si>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</si>
  <si>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</si>
  <si>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</si>
  <si>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</si>
  <si>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</si>
  <si>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</si>
  <si>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</si>
  <si>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</si>
  <si>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</si>
  <si>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</si>
  <si>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</si>
  <si>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</si>
  <si>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</si>
  <si>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</si>
  <si>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</si>
  <si>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</si>
  <si>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</si>
  <si>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</si>
  <si>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</si>
  <si>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</si>
  <si>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</si>
  <si>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</si>
  <si>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</si>
  <si>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</si>
  <si>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</si>
  <si>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</si>
  <si>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</si>
  <si>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</si>
  <si>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</si>
  <si>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</si>
  <si>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</si>
  <si>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</si>
  <si>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</si>
  <si>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</si>
  <si>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</si>
  <si>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</si>
  <si>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</si>
  <si>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</si>
  <si>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</si>
  <si>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</si>
  <si>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</si>
  <si>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</si>
  <si>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</si>
  <si>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</si>
  <si>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</si>
  <si>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</si>
  <si>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</si>
  <si>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</si>
  <si>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</si>
  <si>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</si>
  <si>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</si>
  <si>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</si>
  <si>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</si>
  <si>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</si>
  <si>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</si>
  <si>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</si>
  <si>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</si>
  <si>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</si>
  <si>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</si>
  <si>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</si>
  <si>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</si>
  <si>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</si>
  <si>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</si>
  <si>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</si>
  <si>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</si>
  <si>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</si>
  <si>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</si>
  <si>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</si>
  <si>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</si>
  <si>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</si>
  <si>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</si>
  <si>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</si>
  <si>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</si>
  <si>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</si>
  <si>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</si>
  <si>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</si>
  <si>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</si>
  <si>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</si>
  <si>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</si>
  <si>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</si>
  <si>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</si>
  <si>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</si>
  <si>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</si>
  <si>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</si>
  <si>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</si>
  <si>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</si>
  <si>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</si>
  <si>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</si>
  <si>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</si>
  <si>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</si>
  <si>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</si>
  <si>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</si>
  <si>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</si>
  <si>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</si>
  <si>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</si>
  <si>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</si>
  <si>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</si>
  <si>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</si>
  <si>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</si>
  <si>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</si>
  <si>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</si>
  <si>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</si>
  <si>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</si>
  <si>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</si>
  <si>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</si>
  <si>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</si>
  <si>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</si>
  <si>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</si>
  <si>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</si>
  <si>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</si>
  <si>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</si>
  <si>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</si>
  <si>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</si>
  <si>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</si>
  <si>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</si>
  <si>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</si>
  <si>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</si>
  <si>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</si>
  <si>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</si>
  <si>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</si>
  <si>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</si>
  <si>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</si>
  <si>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</si>
  <si>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</si>
  <si>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</si>
  <si>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</si>
  <si>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</si>
  <si>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</si>
  <si>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</si>
  <si>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</si>
  <si>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</si>
  <si>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</si>
  <si>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</si>
  <si>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</si>
  <si>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</si>
  <si>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</si>
  <si>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</si>
  <si>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</si>
  <si>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</si>
  <si>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</si>
  <si>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</si>
  <si>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</si>
  <si>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</si>
  <si>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</si>
  <si>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</si>
  <si>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</si>
  <si>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</si>
  <si>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</si>
  <si>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</si>
  <si>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</si>
  <si>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</si>
  <si>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</si>
  <si>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</si>
  <si>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</si>
  <si>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</si>
  <si>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</si>
  <si>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</si>
  <si>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</si>
  <si>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</si>
  <si>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</si>
  <si>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</si>
  <si>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</si>
  <si>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</si>
  <si>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</si>
  <si>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</si>
  <si>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</si>
  <si>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</si>
  <si>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</si>
  <si>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</si>
  <si>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</si>
  <si>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</si>
  <si>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</si>
  <si>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</si>
  <si>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</si>
  <si>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</si>
  <si>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</si>
  <si>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</si>
  <si>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</si>
  <si>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</si>
  <si>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</si>
  <si>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</si>
  <si>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</si>
  <si>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</si>
  <si>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</si>
  <si>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</si>
  <si>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</si>
  <si>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</si>
  <si>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</si>
  <si>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</si>
  <si>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</si>
  <si>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</si>
  <si>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</si>
  <si>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</si>
  <si>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</si>
  <si>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</si>
  <si>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</si>
  <si>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</si>
  <si>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</si>
  <si>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</si>
  <si>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</si>
  <si>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</si>
  <si>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</si>
  <si>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</si>
  <si>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</si>
  <si>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</si>
  <si>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</si>
  <si>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</si>
  <si>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</si>
  <si>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</si>
  <si>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</si>
  <si>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</si>
  <si>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</si>
  <si>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</si>
  <si>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</si>
  <si>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</si>
  <si>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</si>
  <si>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</si>
  <si>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</si>
  <si>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</si>
  <si>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</si>
  <si>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</si>
  <si>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</si>
  <si>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</si>
  <si>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</si>
  <si>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</si>
  <si>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</si>
  <si>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</si>
  <si>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</si>
  <si>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</si>
  <si>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</si>
  <si>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</si>
  <si>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</si>
  <si>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</si>
  <si>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</si>
  <si>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</si>
  <si>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</si>
  <si>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</si>
  <si>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</si>
  <si>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</si>
  <si>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</si>
  <si>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</si>
  <si>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</si>
  <si>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</si>
  <si>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</si>
  <si>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</si>
  <si>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</si>
  <si>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</si>
  <si>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</si>
  <si>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</si>
  <si>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</si>
  <si>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</si>
  <si>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</si>
  <si>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</si>
  <si>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</si>
  <si>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</si>
  <si>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</si>
  <si>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</si>
  <si>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</si>
  <si>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</si>
  <si>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</si>
  <si>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</si>
  <si>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</si>
  <si>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</si>
  <si>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</si>
  <si>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</si>
  <si>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</si>
  <si>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</si>
  <si>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</si>
  <si>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</si>
  <si>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</si>
  <si>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</si>
  <si>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</si>
  <si>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</si>
  <si>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</si>
  <si>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</si>
  <si>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</si>
  <si>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</si>
  <si>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</si>
  <si>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</si>
  <si>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</si>
  <si>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</si>
  <si>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</si>
  <si>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</si>
  <si>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</si>
  <si>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</si>
  <si>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</si>
  <si>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</si>
  <si>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</si>
  <si>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</si>
  <si>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</si>
  <si>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</si>
  <si>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</si>
  <si>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</si>
  <si>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</si>
  <si>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</si>
  <si>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</si>
  <si>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</si>
  <si>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</si>
  <si>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</si>
  <si>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</si>
  <si>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</si>
  <si>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</si>
  <si>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</si>
  <si>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</si>
  <si>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</si>
  <si>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</si>
  <si>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</si>
  <si>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</si>
  <si>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</si>
  <si>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</si>
  <si>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</si>
  <si>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</si>
  <si>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</si>
  <si>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</si>
  <si>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</si>
  <si>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</si>
  <si>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</si>
  <si>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</si>
  <si>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</si>
  <si>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</si>
  <si>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</si>
  <si>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</si>
  <si>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</si>
  <si>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</si>
  <si>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</si>
  <si>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</si>
  <si>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</si>
  <si>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</si>
  <si>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</si>
  <si>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</si>
  <si>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</si>
  <si>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</si>
  <si>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</si>
  <si>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</si>
  <si>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</si>
  <si>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</si>
  <si>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</si>
  <si>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</si>
  <si>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</si>
  <si>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</si>
  <si>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</si>
  <si>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</si>
  <si>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</si>
  <si>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</si>
  <si>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</si>
  <si>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</si>
  <si>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</si>
  <si>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</si>
  <si>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</si>
  <si>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</si>
  <si>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</si>
  <si>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</si>
  <si>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</si>
  <si>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</si>
  <si>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</si>
  <si>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</si>
  <si>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</si>
  <si>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</si>
  <si>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</si>
  <si>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</si>
  <si>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</si>
  <si>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</si>
  <si>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</si>
  <si>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</si>
  <si>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</si>
  <si>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</si>
  <si>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</si>
  <si>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</si>
  <si>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</si>
  <si>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</si>
  <si>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</si>
  <si>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</si>
  <si>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</si>
  <si>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</si>
  <si>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</si>
  <si>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</si>
  <si>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</si>
  <si>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</si>
  <si>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</si>
  <si>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</si>
  <si>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</si>
  <si>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</si>
  <si>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</si>
  <si>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</si>
  <si>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</si>
  <si>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</si>
  <si>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</si>
  <si>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</si>
  <si>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</si>
  <si>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</si>
  <si>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</si>
  <si>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</si>
  <si>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</si>
  <si>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</si>
  <si>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</si>
  <si>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</si>
  <si>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</si>
  <si>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</si>
  <si>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</si>
  <si>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</si>
  <si>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</si>
  <si>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</si>
  <si>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</si>
  <si>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</si>
  <si>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</si>
  <si>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</si>
  <si>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</si>
  <si>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</si>
  <si>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</si>
  <si>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</si>
  <si>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</si>
  <si>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</si>
  <si>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</si>
  <si>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</si>
  <si>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</si>
  <si>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</si>
  <si>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</si>
  <si>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</si>
  <si>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</si>
  <si>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</si>
  <si>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</si>
  <si>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</si>
  <si>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</si>
  <si>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</si>
  <si>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</si>
  <si>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</si>
  <si>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</si>
  <si>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</si>
  <si>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</si>
  <si>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</si>
  <si>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</si>
  <si>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</si>
  <si>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</si>
  <si>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</si>
  <si>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</si>
  <si>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</si>
  <si>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</si>
  <si>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</si>
  <si>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</si>
  <si>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</si>
  <si>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</si>
  <si>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</si>
  <si>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</si>
  <si>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</si>
  <si>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</si>
  <si>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</si>
  <si>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</si>
  <si>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</si>
  <si>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</si>
  <si>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</si>
  <si>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</si>
  <si>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</si>
  <si>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</si>
  <si>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</si>
  <si>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</si>
  <si>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</si>
  <si>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</si>
  <si>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</si>
  <si>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</si>
  <si>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</si>
  <si>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</si>
  <si>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</si>
  <si>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</si>
  <si>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</si>
  <si>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</si>
  <si>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</si>
  <si>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</si>
  <si>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</si>
  <si>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</si>
  <si>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</si>
  <si>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</si>
  <si>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</si>
  <si>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</si>
  <si>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</si>
  <si>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</si>
  <si>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</si>
  <si>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</si>
  <si>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</si>
  <si>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</si>
  <si>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</si>
  <si>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</si>
  <si>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</si>
  <si>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</si>
  <si>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</si>
  <si>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</si>
  <si>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</si>
  <si>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</si>
  <si>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</si>
  <si>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</si>
  <si>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</si>
  <si>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</si>
  <si>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</si>
  <si>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</si>
  <si>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</si>
  <si>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</si>
  <si>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</si>
  <si>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</si>
  <si>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</si>
  <si>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</si>
  <si>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</si>
  <si>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</si>
  <si>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</si>
  <si>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</si>
  <si>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</si>
  <si>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</si>
  <si>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</si>
  <si>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</si>
  <si>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</si>
  <si>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</si>
  <si>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</si>
  <si>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</si>
  <si>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</si>
  <si>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pirmdiena, 2015. gada 12. janvāris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</si>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</sst>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75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2" fillId="0" borderId="0" xfId="2" applyAlignment="1">
      <alignment horizontal="center"/>
    </xf>
    <xf numFmtId="0" fontId="1" fillId="0" borderId="0" xfId="0" applyFont="1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8" fillId="2" borderId="3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/>
    <xf numFmtId="0" fontId="1" fillId="0" borderId="0" xfId="0" applyFont="1" applyAlignment="1">
      <alignment horizontal="left" wrapText="1"/>
    </xf>
    <xf numFmtId="175" fontId="0" fillId="2" borderId="0" xfId="0" applyNumberFormat="1" applyFill="1" applyAlignment="1">
      <alignment horizontal="center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charset val="186"/>
        <scheme val="none"/>
      </font>
      <numFmt numFmtId="167" formatCode="_-* #,##0.0\ _L_s_-;\-* #,##0.0\ _L_s_-;_-* &quot;-&quot;??\ _L_s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charset val="186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charset val="186"/>
        <scheme val="none"/>
      </font>
      <numFmt numFmtId="167" formatCode="_-* #,##0.0\ _L_s_-;\-* #,##0.0\ _L_s_-;_-* &quot;-&quot;??\ _L_s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2-42E0-A072-6FDFBBA97386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2-42E0-A072-6FDFBBA97386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64.753677920374102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2-42E0-A072-6FDFBBA9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586447"/>
        <c:axId val="362598927"/>
      </c:lineChart>
      <c:catAx>
        <c:axId val="362586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62598927"/>
        <c:crosses val="autoZero"/>
        <c:auto val="1"/>
        <c:lblAlgn val="ctr"/>
        <c:lblOffset val="100"/>
        <c:noMultiLvlLbl val="0"/>
      </c:catAx>
      <c:valAx>
        <c:axId val="3625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6258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1135170603674542E-2"/>
                  <c:y val="-0.170966754155730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8-4CE7-9057-3AE8DD8E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608911"/>
        <c:axId val="362597679"/>
      </c:scatterChart>
      <c:valAx>
        <c:axId val="36260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NaOH</a:t>
                </a:r>
                <a:r>
                  <a:rPr lang="lv-LV" baseline="0"/>
                  <a:t> (ml)</a:t>
                </a:r>
                <a:endParaRPr lang="lv-LV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62597679"/>
        <c:crosses val="autoZero"/>
        <c:crossBetween val="midCat"/>
      </c:valAx>
      <c:valAx>
        <c:axId val="3625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6260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490537</xdr:colOff>
      <xdr:row>4</xdr:row>
      <xdr:rowOff>142875</xdr:rowOff>
    </xdr:from>
    <xdr:to>
      <xdr:col>14</xdr:col>
      <xdr:colOff>185737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F6B834-BDDE-4AE4-86B1-70581571E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5</xdr:row>
      <xdr:rowOff>209550</xdr:rowOff>
    </xdr:from>
    <xdr:to>
      <xdr:col>11</xdr:col>
      <xdr:colOff>361950</xdr:colOff>
      <xdr:row>20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42B591-709C-4D6E-91CC-660E48264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1CA7B-89D5-4E2B-AFEC-9A4D2C7A2B89}" name="Table1" displayName="Table1" ref="J2:J25" totalsRowShown="0" headerRowDxfId="2" dataDxfId="1" headerRowCellStyle="Comma_Bikes" dataCellStyle="Comma_Bikes">
  <tableColumns count="1">
    <tableColumn id="1" xr3:uid="{4DDDC4AB-B093-4D36-90AD-7C38A1C31986}" name="Column1" dataDxfId="0" dataCellStyle="Comma_Bik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sheetPr codeName="Sheet1"/>
  <dimension ref="A1:M30"/>
  <sheetViews>
    <sheetView workbookViewId="0">
      <selection activeCell="D6" sqref="D6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3" t="s">
        <v>44</v>
      </c>
    </row>
    <row r="5" spans="1:2" ht="16.899999999999999" customHeight="1" x14ac:dyDescent="0.2">
      <c r="A5" s="44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4" t="s">
        <v>3911</v>
      </c>
    </row>
    <row r="13" spans="1:2" ht="16.899999999999999" customHeight="1" x14ac:dyDescent="0.2">
      <c r="A13" s="44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3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9" t="s">
        <v>3904</v>
      </c>
    </row>
    <row r="22" spans="1:13" ht="16.899999999999999" customHeight="1" x14ac:dyDescent="0.2">
      <c r="A22" s="39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1" t="s">
        <v>3882</v>
      </c>
    </row>
    <row r="25" spans="1:13" ht="16.899999999999999" customHeight="1" x14ac:dyDescent="0.2">
      <c r="A25" s="52" t="s">
        <v>3905</v>
      </c>
    </row>
    <row r="26" spans="1:13" ht="16.899999999999999" customHeight="1" x14ac:dyDescent="0.2">
      <c r="A26" s="52" t="s">
        <v>3914</v>
      </c>
    </row>
    <row r="27" spans="1:13" ht="16.899999999999999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899999999999999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sheetPr codeName="Sheet2"/>
  <dimension ref="A1:F52"/>
  <sheetViews>
    <sheetView workbookViewId="0">
      <selection activeCell="D13" sqref="D13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7" customWidth="1"/>
    <col min="6" max="6" width="33.7109375" customWidth="1"/>
  </cols>
  <sheetData>
    <row r="1" spans="1:6" ht="15" customHeight="1" x14ac:dyDescent="0.2">
      <c r="A1" s="57" t="s">
        <v>31</v>
      </c>
      <c r="B1" s="58"/>
      <c r="D1" s="72" t="s">
        <v>3915</v>
      </c>
      <c r="F1" s="10">
        <v>42007</v>
      </c>
    </row>
    <row r="2" spans="1:6" ht="15" customHeight="1" x14ac:dyDescent="0.2">
      <c r="A2" s="8" t="s">
        <v>32</v>
      </c>
      <c r="B2" s="71">
        <v>41883</v>
      </c>
      <c r="F2" s="10">
        <v>42014</v>
      </c>
    </row>
    <row r="3" spans="1:6" ht="15" customHeight="1" x14ac:dyDescent="0.2">
      <c r="A3" s="8" t="s">
        <v>33</v>
      </c>
      <c r="B3" s="71">
        <v>42153</v>
      </c>
      <c r="F3" s="10">
        <v>42021</v>
      </c>
    </row>
    <row r="4" spans="1:6" ht="15" customHeight="1" x14ac:dyDescent="0.2">
      <c r="A4" s="8" t="s">
        <v>34</v>
      </c>
      <c r="B4" s="71">
        <v>42139</v>
      </c>
      <c r="F4" s="10">
        <v>42028</v>
      </c>
    </row>
    <row r="5" spans="1:6" ht="15" customHeight="1" x14ac:dyDescent="0.2">
      <c r="A5" s="8" t="s">
        <v>35</v>
      </c>
      <c r="B5" s="71">
        <v>41939</v>
      </c>
      <c r="F5" s="10">
        <v>42035</v>
      </c>
    </row>
    <row r="6" spans="1:6" ht="15" customHeight="1" x14ac:dyDescent="0.2">
      <c r="A6" s="8" t="s">
        <v>36</v>
      </c>
      <c r="B6" s="71">
        <v>41943</v>
      </c>
      <c r="F6" s="10">
        <v>42042</v>
      </c>
    </row>
    <row r="7" spans="1:6" ht="15" customHeight="1" x14ac:dyDescent="0.2">
      <c r="A7" s="8" t="s">
        <v>37</v>
      </c>
      <c r="B7" s="71">
        <v>41995</v>
      </c>
      <c r="F7" s="10">
        <v>42049</v>
      </c>
    </row>
    <row r="8" spans="1:6" ht="15" customHeight="1" x14ac:dyDescent="0.2">
      <c r="A8" s="8" t="s">
        <v>38</v>
      </c>
      <c r="B8" s="71">
        <v>42006</v>
      </c>
      <c r="F8" s="10">
        <v>42056</v>
      </c>
    </row>
    <row r="9" spans="1:6" ht="15" customHeight="1" x14ac:dyDescent="0.2">
      <c r="A9" s="8" t="s">
        <v>39</v>
      </c>
      <c r="B9" s="71">
        <v>42079</v>
      </c>
      <c r="F9" s="10">
        <v>42063</v>
      </c>
    </row>
    <row r="10" spans="1:6" ht="15" customHeight="1" x14ac:dyDescent="0.2">
      <c r="A10" s="8" t="s">
        <v>40</v>
      </c>
      <c r="B10" s="71">
        <v>42083</v>
      </c>
      <c r="F10" s="10">
        <v>42070</v>
      </c>
    </row>
    <row r="11" spans="1:6" ht="15" customHeight="1" x14ac:dyDescent="0.2">
      <c r="A11" s="8" t="s">
        <v>41</v>
      </c>
      <c r="B11" s="71">
        <v>42086</v>
      </c>
      <c r="F11" s="10">
        <v>42077</v>
      </c>
    </row>
    <row r="12" spans="1:6" ht="15" customHeight="1" x14ac:dyDescent="0.2">
      <c r="A12" s="8" t="s">
        <v>42</v>
      </c>
      <c r="B12" s="71">
        <v>42090</v>
      </c>
      <c r="F12" s="10">
        <v>42084</v>
      </c>
    </row>
    <row r="13" spans="1:6" ht="15" customHeight="1" x14ac:dyDescent="0.2">
      <c r="F13" s="10">
        <v>42091</v>
      </c>
    </row>
    <row r="14" spans="1:6" ht="15" customHeight="1" x14ac:dyDescent="0.2">
      <c r="A14" s="2">
        <v>1</v>
      </c>
      <c r="B14" s="59" t="s">
        <v>3886</v>
      </c>
      <c r="F14" s="10">
        <v>42098</v>
      </c>
    </row>
    <row r="15" spans="1:6" ht="15" customHeight="1" x14ac:dyDescent="0.2">
      <c r="A15" s="2"/>
      <c r="B15" s="59"/>
      <c r="C15" t="s">
        <v>3885</v>
      </c>
      <c r="F15" s="10">
        <v>42105</v>
      </c>
    </row>
    <row r="16" spans="1:6" ht="15" customHeight="1" x14ac:dyDescent="0.2">
      <c r="A16" s="2"/>
      <c r="B16" s="59"/>
      <c r="F16" s="10">
        <v>42112</v>
      </c>
    </row>
    <row r="17" spans="1:6" ht="15" customHeight="1" x14ac:dyDescent="0.2">
      <c r="A17" s="2"/>
      <c r="F17" s="10">
        <v>42119</v>
      </c>
    </row>
    <row r="18" spans="1:6" ht="15" customHeight="1" x14ac:dyDescent="0.2">
      <c r="A18" s="2">
        <v>2</v>
      </c>
      <c r="B18" s="59" t="s">
        <v>3907</v>
      </c>
      <c r="F18" s="10">
        <v>42126</v>
      </c>
    </row>
    <row r="19" spans="1:6" ht="15" customHeight="1" x14ac:dyDescent="0.2">
      <c r="A19" s="2"/>
      <c r="B19" s="59"/>
      <c r="C19" t="s">
        <v>3885</v>
      </c>
      <c r="F19" s="10">
        <v>42133</v>
      </c>
    </row>
    <row r="20" spans="1:6" ht="15" customHeight="1" x14ac:dyDescent="0.2">
      <c r="A20" s="2"/>
      <c r="B20" s="59"/>
      <c r="F20" s="10">
        <v>42140</v>
      </c>
    </row>
    <row r="21" spans="1:6" ht="15" customHeight="1" x14ac:dyDescent="0.2">
      <c r="A21" s="2"/>
      <c r="F21" s="10">
        <v>42147</v>
      </c>
    </row>
    <row r="22" spans="1:6" ht="15" customHeight="1" x14ac:dyDescent="0.2">
      <c r="A22" s="2">
        <v>3</v>
      </c>
      <c r="B22" s="59" t="s">
        <v>3887</v>
      </c>
      <c r="F22" s="10">
        <v>42154</v>
      </c>
    </row>
    <row r="23" spans="1:6" ht="15" customHeight="1" x14ac:dyDescent="0.2">
      <c r="B23" s="59"/>
      <c r="C23" t="s">
        <v>3885</v>
      </c>
      <c r="F23" s="10">
        <v>42161</v>
      </c>
    </row>
    <row r="24" spans="1:6" ht="15" customHeight="1" x14ac:dyDescent="0.2">
      <c r="B24" s="59"/>
      <c r="F24" s="10">
        <v>42168</v>
      </c>
    </row>
    <row r="25" spans="1:6" ht="15" customHeight="1" x14ac:dyDescent="0.2">
      <c r="F25" s="10">
        <v>42175</v>
      </c>
    </row>
    <row r="26" spans="1:6" ht="15" customHeight="1" x14ac:dyDescent="0.2">
      <c r="F26" s="10">
        <v>42182</v>
      </c>
    </row>
    <row r="27" spans="1:6" ht="15" customHeight="1" x14ac:dyDescent="0.2">
      <c r="F27" s="10">
        <v>42189</v>
      </c>
    </row>
    <row r="28" spans="1:6" ht="15" customHeight="1" x14ac:dyDescent="0.2">
      <c r="F28" s="10">
        <v>42196</v>
      </c>
    </row>
    <row r="29" spans="1:6" ht="15" customHeight="1" x14ac:dyDescent="0.2">
      <c r="F29" s="10">
        <v>42203</v>
      </c>
    </row>
    <row r="30" spans="1:6" ht="15" customHeight="1" x14ac:dyDescent="0.2">
      <c r="F30" s="10">
        <v>42210</v>
      </c>
    </row>
    <row r="31" spans="1:6" ht="15" customHeight="1" x14ac:dyDescent="0.2">
      <c r="F31" s="10">
        <v>42217</v>
      </c>
    </row>
    <row r="32" spans="1:6" ht="15" customHeight="1" x14ac:dyDescent="0.2">
      <c r="F32" s="10">
        <v>42224</v>
      </c>
    </row>
    <row r="33" spans="6:6" ht="15" customHeight="1" x14ac:dyDescent="0.2">
      <c r="F33" s="10">
        <v>42231</v>
      </c>
    </row>
    <row r="34" spans="6:6" ht="15" customHeight="1" x14ac:dyDescent="0.2">
      <c r="F34" s="10">
        <v>42238</v>
      </c>
    </row>
    <row r="35" spans="6:6" ht="15" customHeight="1" x14ac:dyDescent="0.2">
      <c r="F35" s="10">
        <v>42245</v>
      </c>
    </row>
    <row r="36" spans="6:6" ht="15" customHeight="1" x14ac:dyDescent="0.2">
      <c r="F36" s="10">
        <v>42252</v>
      </c>
    </row>
    <row r="37" spans="6:6" ht="15" customHeight="1" x14ac:dyDescent="0.2">
      <c r="F37" s="10">
        <v>42259</v>
      </c>
    </row>
    <row r="38" spans="6:6" ht="15" customHeight="1" x14ac:dyDescent="0.2">
      <c r="F38" s="10">
        <v>42266</v>
      </c>
    </row>
    <row r="39" spans="6:6" ht="15" customHeight="1" x14ac:dyDescent="0.2">
      <c r="F39" s="10">
        <v>42273</v>
      </c>
    </row>
    <row r="40" spans="6:6" ht="15" customHeight="1" x14ac:dyDescent="0.2">
      <c r="F40" s="10">
        <v>42280</v>
      </c>
    </row>
    <row r="41" spans="6:6" ht="15" customHeight="1" x14ac:dyDescent="0.2">
      <c r="F41" s="10">
        <v>42287</v>
      </c>
    </row>
    <row r="42" spans="6:6" ht="15" customHeight="1" x14ac:dyDescent="0.2">
      <c r="F42" s="10">
        <v>42294</v>
      </c>
    </row>
    <row r="43" spans="6:6" ht="15" customHeight="1" x14ac:dyDescent="0.2">
      <c r="F43" s="10">
        <v>42301</v>
      </c>
    </row>
    <row r="44" spans="6:6" ht="15" customHeight="1" x14ac:dyDescent="0.2">
      <c r="F44" s="10">
        <v>42308</v>
      </c>
    </row>
    <row r="45" spans="6:6" ht="15" customHeight="1" x14ac:dyDescent="0.2">
      <c r="F45" s="10">
        <v>42315</v>
      </c>
    </row>
    <row r="46" spans="6:6" ht="15" customHeight="1" x14ac:dyDescent="0.2">
      <c r="F46" s="10">
        <v>42322</v>
      </c>
    </row>
    <row r="47" spans="6:6" ht="15" customHeight="1" x14ac:dyDescent="0.2">
      <c r="F47" s="10">
        <v>42329</v>
      </c>
    </row>
    <row r="48" spans="6:6" ht="15" customHeight="1" x14ac:dyDescent="0.2">
      <c r="F48" s="10">
        <v>42336</v>
      </c>
    </row>
    <row r="49" spans="6:6" ht="15" customHeight="1" x14ac:dyDescent="0.2">
      <c r="F49" s="10">
        <v>42343</v>
      </c>
    </row>
    <row r="50" spans="6:6" ht="15" customHeight="1" x14ac:dyDescent="0.2">
      <c r="F50" s="10">
        <v>42350</v>
      </c>
    </row>
    <row r="51" spans="6:6" ht="15" customHeight="1" x14ac:dyDescent="0.2">
      <c r="F51" s="10">
        <v>42357</v>
      </c>
    </row>
    <row r="52" spans="6:6" ht="15" customHeight="1" x14ac:dyDescent="0.2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26"/>
  <sheetViews>
    <sheetView workbookViewId="0">
      <selection activeCell="M4" sqref="M4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59" t="s">
        <v>45</v>
      </c>
      <c r="R2" s="59"/>
      <c r="S2" s="59"/>
      <c r="T2" s="59"/>
      <c r="U2" s="59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59"/>
      <c r="R3" s="59"/>
      <c r="S3" s="59"/>
      <c r="T3" s="59"/>
      <c r="U3" s="59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59"/>
      <c r="R4" s="59"/>
      <c r="S4" s="59"/>
      <c r="T4" s="59"/>
      <c r="U4" s="59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59"/>
      <c r="R5" s="59"/>
      <c r="S5" s="59"/>
      <c r="T5" s="59"/>
      <c r="U5" s="59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59"/>
      <c r="R6" s="59"/>
      <c r="S6" s="59"/>
      <c r="T6" s="59"/>
      <c r="U6" s="59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64.753677920374102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W26"/>
  <sheetViews>
    <sheetView workbookViewId="0">
      <selection activeCell="G41" sqref="G41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59" t="s">
        <v>46</v>
      </c>
      <c r="U3" s="59"/>
      <c r="V3" s="59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59"/>
      <c r="U4" s="59"/>
      <c r="V4" s="59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59"/>
      <c r="U5" s="59"/>
      <c r="V5" s="59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59"/>
      <c r="U6" s="59"/>
      <c r="V6" s="59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70"/>
  <sheetViews>
    <sheetView workbookViewId="0">
      <selection activeCell="N52" sqref="N52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63" t="s">
        <v>22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73" t="s">
        <v>16</v>
      </c>
      <c r="M2" s="54"/>
      <c r="N2" s="54"/>
      <c r="O2" s="54"/>
      <c r="P2" s="54"/>
      <c r="Q2" s="54"/>
      <c r="R2" s="54"/>
    </row>
    <row r="3" spans="1:19" ht="15" customHeight="1" x14ac:dyDescent="0.2">
      <c r="A3" s="1">
        <v>89</v>
      </c>
      <c r="B3" s="14">
        <f>(180-A3)/2</f>
        <v>45.5</v>
      </c>
      <c r="C3" s="14">
        <f>SQRT((G3/2-D3)*(G3/2-E3)*(G3/2-F3))</f>
        <v>8.4258672902718175</v>
      </c>
      <c r="D3" s="6">
        <v>11</v>
      </c>
      <c r="E3" s="1">
        <v>7.8469500691990923</v>
      </c>
      <c r="F3" s="1">
        <v>7.8469500691990923</v>
      </c>
      <c r="G3" s="1">
        <f>SUM(D3,F3,E3)</f>
        <v>26.693900138398185</v>
      </c>
      <c r="H3" s="14">
        <f>SQRT((E3*F3-(D3/2)*(D3/2)))</f>
        <v>5.5968406613466888</v>
      </c>
      <c r="I3" s="14" t="str">
        <f>IF(A3&gt;90,"platlenķa","cits")</f>
        <v>cits</v>
      </c>
      <c r="J3" s="14">
        <f>COUNT(A3:A70)</f>
        <v>68</v>
      </c>
      <c r="K3" s="14">
        <f>MAX(A3:A70)</f>
        <v>130</v>
      </c>
    </row>
    <row r="4" spans="1:19" ht="15" customHeight="1" x14ac:dyDescent="0.2">
      <c r="A4" s="1">
        <v>124</v>
      </c>
      <c r="B4" s="14">
        <f>(180-A4)/2</f>
        <v>28</v>
      </c>
      <c r="C4" s="14">
        <f t="shared" ref="C4:C67" si="0">SQRT((G4/2-D4)*(G4/2-E4)*(G4/2-F4))</f>
        <v>4.6964180162533351</v>
      </c>
      <c r="D4" s="1">
        <v>11</v>
      </c>
      <c r="E4" s="1">
        <v>6.2291352787897161</v>
      </c>
      <c r="F4" s="1">
        <v>6.2291352787897161</v>
      </c>
      <c r="G4" s="1">
        <f t="shared" ref="G4:G67" si="1">SUM(D4,F4,E4)</f>
        <v>23.458270557579432</v>
      </c>
      <c r="H4" s="14">
        <f t="shared" ref="H4:H67" si="2">SQRT((E4*F4-(D4/2)*(D4/2)))</f>
        <v>2.9244018741381339</v>
      </c>
      <c r="I4" s="14" t="str">
        <f t="shared" ref="I4:I67" si="3">IF(A4&gt;90,"platlenķa","cits")</f>
        <v>platlenķa</v>
      </c>
      <c r="L4" s="42">
        <v>7</v>
      </c>
      <c r="M4" s="59" t="s">
        <v>47</v>
      </c>
      <c r="N4" s="59"/>
      <c r="O4" s="59"/>
      <c r="P4" s="59"/>
      <c r="Q4" s="59"/>
      <c r="R4" s="59"/>
      <c r="S4" s="1" t="s">
        <v>3885</v>
      </c>
    </row>
    <row r="5" spans="1:19" ht="15" customHeight="1" x14ac:dyDescent="0.2">
      <c r="A5" s="1">
        <v>39</v>
      </c>
      <c r="B5" s="14">
        <f t="shared" ref="B5:B68" si="4">(180-A5)/2</f>
        <v>70.5</v>
      </c>
      <c r="C5" s="14">
        <f t="shared" si="0"/>
        <v>20.762484713662765</v>
      </c>
      <c r="D5" s="1">
        <v>12</v>
      </c>
      <c r="E5" s="1">
        <v>17.974465874585558</v>
      </c>
      <c r="F5" s="1">
        <v>17.974465874585558</v>
      </c>
      <c r="G5" s="1">
        <f t="shared" si="1"/>
        <v>47.948931749171116</v>
      </c>
      <c r="H5" s="14">
        <f t="shared" si="2"/>
        <v>16.943477313604809</v>
      </c>
      <c r="I5" s="14" t="str">
        <f t="shared" si="3"/>
        <v>cits</v>
      </c>
      <c r="L5" s="42"/>
      <c r="M5" s="59"/>
      <c r="N5" s="59"/>
      <c r="O5" s="59"/>
      <c r="P5" s="59"/>
      <c r="Q5" s="59"/>
      <c r="R5" s="59"/>
    </row>
    <row r="6" spans="1:19" ht="15" customHeight="1" x14ac:dyDescent="0.2">
      <c r="A6" s="1">
        <v>99</v>
      </c>
      <c r="B6" s="14">
        <f t="shared" si="4"/>
        <v>40.5</v>
      </c>
      <c r="C6" s="14">
        <f t="shared" si="0"/>
        <v>13.910528523673298</v>
      </c>
      <c r="D6" s="1">
        <v>17</v>
      </c>
      <c r="E6" s="1">
        <v>11.178239499071671</v>
      </c>
      <c r="F6" s="1">
        <v>11.178239499071671</v>
      </c>
      <c r="G6" s="1">
        <f t="shared" si="1"/>
        <v>39.356478998143345</v>
      </c>
      <c r="H6" s="14">
        <f t="shared" si="2"/>
        <v>7.2596858264394664</v>
      </c>
      <c r="I6" s="14" t="str">
        <f t="shared" si="3"/>
        <v>platlenķa</v>
      </c>
      <c r="L6" s="42"/>
    </row>
    <row r="7" spans="1:19" ht="15" customHeight="1" x14ac:dyDescent="0.2">
      <c r="A7" s="1">
        <v>38</v>
      </c>
      <c r="B7" s="14">
        <f t="shared" si="4"/>
        <v>71</v>
      </c>
      <c r="C7" s="14">
        <f t="shared" si="0"/>
        <v>67.462604533220187</v>
      </c>
      <c r="D7" s="1">
        <v>26</v>
      </c>
      <c r="E7" s="1">
        <v>39.930195327844146</v>
      </c>
      <c r="F7" s="1">
        <v>39.930195327844146</v>
      </c>
      <c r="G7" s="1">
        <f t="shared" si="1"/>
        <v>105.86039065568829</v>
      </c>
      <c r="H7" s="14">
        <f t="shared" si="2"/>
        <v>37.754741409785694</v>
      </c>
      <c r="I7" s="14" t="str">
        <f t="shared" si="3"/>
        <v>cits</v>
      </c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2">
      <c r="A8" s="1">
        <v>100</v>
      </c>
      <c r="B8" s="14">
        <f t="shared" si="4"/>
        <v>40</v>
      </c>
      <c r="C8" s="14">
        <f t="shared" si="0"/>
        <v>30.513477308242308</v>
      </c>
      <c r="D8" s="1">
        <v>29</v>
      </c>
      <c r="E8" s="1">
        <v>18.928405695318041</v>
      </c>
      <c r="F8" s="1">
        <v>18.928405695318041</v>
      </c>
      <c r="G8" s="1">
        <f t="shared" si="1"/>
        <v>66.856811390636082</v>
      </c>
      <c r="H8" s="14">
        <f t="shared" si="2"/>
        <v>12.166944652070564</v>
      </c>
      <c r="I8" s="14" t="str">
        <f t="shared" si="3"/>
        <v>platlenķa</v>
      </c>
      <c r="L8" s="42"/>
    </row>
    <row r="9" spans="1:19" ht="15" customHeight="1" x14ac:dyDescent="0.2">
      <c r="A9" s="1">
        <v>54</v>
      </c>
      <c r="B9" s="14">
        <f t="shared" si="4"/>
        <v>63</v>
      </c>
      <c r="C9" s="14">
        <f t="shared" si="0"/>
        <v>66.922824844424042</v>
      </c>
      <c r="D9" s="1">
        <v>31</v>
      </c>
      <c r="E9" s="1">
        <v>34.141683601071634</v>
      </c>
      <c r="F9" s="1">
        <v>34.141683601071634</v>
      </c>
      <c r="G9" s="1">
        <f t="shared" si="1"/>
        <v>99.283367202143268</v>
      </c>
      <c r="H9" s="14">
        <f t="shared" si="2"/>
        <v>30.420462835329836</v>
      </c>
      <c r="I9" s="14" t="str">
        <f t="shared" si="3"/>
        <v>cits</v>
      </c>
      <c r="L9" s="42">
        <v>9</v>
      </c>
      <c r="M9" s="59" t="s">
        <v>49</v>
      </c>
      <c r="N9" s="59"/>
      <c r="O9" s="59"/>
      <c r="P9" s="59"/>
      <c r="Q9" s="59"/>
      <c r="R9" s="59"/>
      <c r="S9" s="1" t="s">
        <v>3885</v>
      </c>
    </row>
    <row r="10" spans="1:19" ht="15" customHeight="1" x14ac:dyDescent="0.2">
      <c r="A10" s="1">
        <v>26</v>
      </c>
      <c r="B10" s="14">
        <f t="shared" si="4"/>
        <v>77</v>
      </c>
      <c r="C10" s="14">
        <f t="shared" si="0"/>
        <v>124.40747186648694</v>
      </c>
      <c r="D10" s="1">
        <v>33</v>
      </c>
      <c r="E10" s="1">
        <v>73.349289462665709</v>
      </c>
      <c r="F10" s="1">
        <v>73.349289462665709</v>
      </c>
      <c r="G10" s="1">
        <f t="shared" si="1"/>
        <v>179.69857892533142</v>
      </c>
      <c r="H10" s="14">
        <f t="shared" si="2"/>
        <v>71.469351925688557</v>
      </c>
      <c r="I10" s="14" t="str">
        <f t="shared" si="3"/>
        <v>cits</v>
      </c>
      <c r="L10" s="42"/>
      <c r="M10" s="59"/>
      <c r="N10" s="59"/>
      <c r="O10" s="59"/>
      <c r="P10" s="59"/>
      <c r="Q10" s="59"/>
      <c r="R10" s="59"/>
    </row>
    <row r="11" spans="1:19" ht="15" customHeight="1" x14ac:dyDescent="0.2">
      <c r="A11" s="1">
        <v>126</v>
      </c>
      <c r="B11" s="14">
        <f t="shared" si="4"/>
        <v>27</v>
      </c>
      <c r="C11" s="14">
        <f t="shared" si="0"/>
        <v>27.830268851767521</v>
      </c>
      <c r="D11" s="1">
        <v>37</v>
      </c>
      <c r="E11" s="1">
        <v>20.763035396235676</v>
      </c>
      <c r="F11" s="1">
        <v>20.763035396235676</v>
      </c>
      <c r="G11" s="1">
        <f t="shared" si="1"/>
        <v>78.526070792471359</v>
      </c>
      <c r="H11" s="14">
        <f t="shared" si="2"/>
        <v>9.4262208156469338</v>
      </c>
      <c r="I11" s="14" t="str">
        <f t="shared" si="3"/>
        <v>platlenķa</v>
      </c>
      <c r="L11" s="42"/>
      <c r="M11" s="59"/>
      <c r="N11" s="59"/>
      <c r="O11" s="59"/>
      <c r="P11" s="59"/>
      <c r="Q11" s="59"/>
      <c r="R11" s="59"/>
    </row>
    <row r="12" spans="1:19" ht="15" customHeight="1" x14ac:dyDescent="0.2">
      <c r="A12" s="1">
        <v>89</v>
      </c>
      <c r="B12" s="14">
        <f t="shared" si="4"/>
        <v>45.5</v>
      </c>
      <c r="C12" s="14">
        <f t="shared" si="0"/>
        <v>58.42726722343501</v>
      </c>
      <c r="D12" s="1">
        <v>40</v>
      </c>
      <c r="E12" s="1">
        <v>28.534363887996701</v>
      </c>
      <c r="F12" s="1">
        <v>28.534363887996701</v>
      </c>
      <c r="G12" s="1">
        <f t="shared" si="1"/>
        <v>97.068727775993409</v>
      </c>
      <c r="H12" s="14">
        <f t="shared" si="2"/>
        <v>20.352147859442507</v>
      </c>
      <c r="I12" s="14" t="str">
        <f t="shared" si="3"/>
        <v>cits</v>
      </c>
    </row>
    <row r="13" spans="1:19" ht="15" customHeight="1" x14ac:dyDescent="0.2">
      <c r="A13" s="1">
        <v>37</v>
      </c>
      <c r="B13" s="14">
        <f t="shared" si="4"/>
        <v>71.5</v>
      </c>
      <c r="C13" s="14">
        <f t="shared" si="0"/>
        <v>136.14636147072346</v>
      </c>
      <c r="D13" s="1">
        <v>41</v>
      </c>
      <c r="E13" s="1">
        <v>64.606678742931337</v>
      </c>
      <c r="F13" s="1">
        <v>64.606678742931337</v>
      </c>
      <c r="G13" s="1">
        <f t="shared" si="1"/>
        <v>170.21335748586267</v>
      </c>
      <c r="H13" s="14">
        <f t="shared" si="2"/>
        <v>61.2680417362293</v>
      </c>
      <c r="I13" s="14" t="str">
        <f t="shared" si="3"/>
        <v>cits</v>
      </c>
      <c r="L13" s="42">
        <v>10</v>
      </c>
      <c r="M13" s="59" t="s">
        <v>50</v>
      </c>
      <c r="N13" s="59"/>
      <c r="O13" s="59"/>
      <c r="P13" s="59"/>
      <c r="Q13" s="59"/>
      <c r="R13" s="59"/>
      <c r="S13" s="1" t="s">
        <v>3885</v>
      </c>
    </row>
    <row r="14" spans="1:19" ht="15" customHeight="1" x14ac:dyDescent="0.2">
      <c r="A14" s="1">
        <v>38</v>
      </c>
      <c r="B14" s="14">
        <f t="shared" si="4"/>
        <v>71</v>
      </c>
      <c r="C14" s="14">
        <f t="shared" si="0"/>
        <v>133.59151257695785</v>
      </c>
      <c r="D14" s="1">
        <v>41</v>
      </c>
      <c r="E14" s="1">
        <v>62.966846478523465</v>
      </c>
      <c r="F14" s="1">
        <v>62.966846478523465</v>
      </c>
      <c r="G14" s="1">
        <f t="shared" si="1"/>
        <v>166.93369295704693</v>
      </c>
      <c r="H14" s="14">
        <f t="shared" si="2"/>
        <v>59.536322992354364</v>
      </c>
      <c r="I14" s="14" t="str">
        <f t="shared" si="3"/>
        <v>cits</v>
      </c>
      <c r="L14" s="42"/>
      <c r="M14" s="59"/>
      <c r="N14" s="59"/>
      <c r="O14" s="59"/>
      <c r="P14" s="59"/>
      <c r="Q14" s="59"/>
      <c r="R14" s="59"/>
    </row>
    <row r="15" spans="1:19" ht="15" customHeight="1" x14ac:dyDescent="0.2">
      <c r="A15" s="1">
        <v>14</v>
      </c>
      <c r="B15" s="14">
        <f t="shared" si="4"/>
        <v>83</v>
      </c>
      <c r="C15" s="14">
        <f t="shared" si="0"/>
        <v>267.60241214563086</v>
      </c>
      <c r="D15" s="1">
        <v>43</v>
      </c>
      <c r="E15" s="1">
        <v>176.4184445346892</v>
      </c>
      <c r="F15" s="1">
        <v>176.4184445346892</v>
      </c>
      <c r="G15" s="1">
        <f t="shared" si="1"/>
        <v>395.8368890693784</v>
      </c>
      <c r="H15" s="14">
        <f t="shared" si="2"/>
        <v>175.1034482014538</v>
      </c>
      <c r="I15" s="14" t="str">
        <f t="shared" si="3"/>
        <v>cits</v>
      </c>
      <c r="L15" s="42"/>
      <c r="M15" s="59"/>
      <c r="N15" s="59"/>
      <c r="O15" s="59"/>
      <c r="P15" s="59"/>
      <c r="Q15" s="59"/>
      <c r="R15" s="59"/>
    </row>
    <row r="16" spans="1:19" ht="15" customHeight="1" x14ac:dyDescent="0.2">
      <c r="A16" s="1">
        <v>75</v>
      </c>
      <c r="B16" s="14">
        <f t="shared" si="4"/>
        <v>52.5</v>
      </c>
      <c r="C16" s="14">
        <f t="shared" si="0"/>
        <v>79.919904809390388</v>
      </c>
      <c r="D16" s="1">
        <v>43</v>
      </c>
      <c r="E16" s="1">
        <v>35.317612081648505</v>
      </c>
      <c r="F16" s="1">
        <v>35.317612081648505</v>
      </c>
      <c r="G16" s="1">
        <f t="shared" si="1"/>
        <v>113.63522416329701</v>
      </c>
      <c r="H16" s="14">
        <f t="shared" si="2"/>
        <v>28.019345516085924</v>
      </c>
      <c r="I16" s="14" t="str">
        <f t="shared" si="3"/>
        <v>cits</v>
      </c>
    </row>
    <row r="17" spans="1:19" ht="15" customHeight="1" x14ac:dyDescent="0.2">
      <c r="A17" s="1">
        <v>67</v>
      </c>
      <c r="B17" s="14">
        <f t="shared" si="4"/>
        <v>56.5</v>
      </c>
      <c r="C17" s="14">
        <f t="shared" si="0"/>
        <v>89.821952154432822</v>
      </c>
      <c r="D17" s="1">
        <v>43</v>
      </c>
      <c r="E17" s="1">
        <v>38.953722204074026</v>
      </c>
      <c r="F17" s="1">
        <v>38.953722204074026</v>
      </c>
      <c r="G17" s="1">
        <f t="shared" si="1"/>
        <v>120.90744440814805</v>
      </c>
      <c r="H17" s="14">
        <f t="shared" si="2"/>
        <v>32.482956662720369</v>
      </c>
      <c r="I17" s="14" t="str">
        <f t="shared" si="3"/>
        <v>cits</v>
      </c>
      <c r="L17" s="42">
        <v>11</v>
      </c>
      <c r="M17" s="59" t="s">
        <v>51</v>
      </c>
      <c r="N17" s="59"/>
      <c r="O17" s="59"/>
      <c r="P17" s="59"/>
      <c r="Q17" s="59"/>
      <c r="R17" s="59"/>
      <c r="S17" s="1" t="s">
        <v>3885</v>
      </c>
    </row>
    <row r="18" spans="1:19" ht="15" customHeight="1" x14ac:dyDescent="0.2">
      <c r="A18" s="1">
        <v>114</v>
      </c>
      <c r="B18" s="14">
        <f t="shared" si="4"/>
        <v>33</v>
      </c>
      <c r="C18" s="14">
        <f t="shared" si="0"/>
        <v>46.809594448782256</v>
      </c>
      <c r="D18" s="1">
        <v>45</v>
      </c>
      <c r="E18" s="1">
        <v>26.828174088808819</v>
      </c>
      <c r="F18" s="1">
        <v>26.828174088808819</v>
      </c>
      <c r="G18" s="1">
        <f t="shared" si="1"/>
        <v>98.656348177617645</v>
      </c>
      <c r="H18" s="14">
        <f t="shared" si="2"/>
        <v>14.611670846943991</v>
      </c>
      <c r="I18" s="14" t="str">
        <f t="shared" si="3"/>
        <v>platlenķa</v>
      </c>
      <c r="M18" s="59"/>
      <c r="N18" s="59"/>
      <c r="O18" s="59"/>
      <c r="P18" s="59"/>
      <c r="Q18" s="59"/>
      <c r="R18" s="59"/>
    </row>
    <row r="19" spans="1:19" ht="15" customHeight="1" x14ac:dyDescent="0.2">
      <c r="A19" s="1">
        <v>124</v>
      </c>
      <c r="B19" s="14">
        <f t="shared" si="4"/>
        <v>28</v>
      </c>
      <c r="C19" s="14">
        <f t="shared" si="0"/>
        <v>38.859435580433264</v>
      </c>
      <c r="D19" s="1">
        <v>45</v>
      </c>
      <c r="E19" s="1">
        <v>25.482826140503384</v>
      </c>
      <c r="F19" s="1">
        <v>25.482826140503384</v>
      </c>
      <c r="G19" s="1">
        <f t="shared" si="1"/>
        <v>95.965652281006783</v>
      </c>
      <c r="H19" s="14">
        <f t="shared" si="2"/>
        <v>11.963462212383281</v>
      </c>
      <c r="I19" s="14" t="str">
        <f t="shared" si="3"/>
        <v>platlenķa</v>
      </c>
      <c r="M19" s="59"/>
      <c r="N19" s="59"/>
      <c r="O19" s="59"/>
      <c r="P19" s="59"/>
      <c r="Q19" s="59"/>
      <c r="R19" s="59"/>
    </row>
    <row r="20" spans="1:19" ht="15" customHeight="1" x14ac:dyDescent="0.2">
      <c r="A20" s="1">
        <v>57</v>
      </c>
      <c r="B20" s="14">
        <f t="shared" si="4"/>
        <v>61.5</v>
      </c>
      <c r="C20" s="14">
        <f t="shared" si="0"/>
        <v>115.4636337771756</v>
      </c>
      <c r="D20" s="1">
        <v>46</v>
      </c>
      <c r="E20" s="1">
        <v>48.201986247693242</v>
      </c>
      <c r="F20" s="1">
        <v>48.201986247693242</v>
      </c>
      <c r="G20" s="1">
        <f t="shared" si="1"/>
        <v>142.40397249538648</v>
      </c>
      <c r="H20" s="14">
        <f t="shared" si="2"/>
        <v>42.360730378769539</v>
      </c>
      <c r="I20" s="14" t="str">
        <f t="shared" si="3"/>
        <v>cits</v>
      </c>
    </row>
    <row r="21" spans="1:19" ht="15" customHeight="1" x14ac:dyDescent="0.2">
      <c r="A21" s="1">
        <v>90</v>
      </c>
      <c r="B21" s="14">
        <f t="shared" si="4"/>
        <v>45</v>
      </c>
      <c r="C21" s="14">
        <f t="shared" si="0"/>
        <v>73.318564059743707</v>
      </c>
      <c r="D21" s="1">
        <v>47</v>
      </c>
      <c r="E21" s="1">
        <v>33.234018715767739</v>
      </c>
      <c r="F21" s="1">
        <v>33.234018715767739</v>
      </c>
      <c r="G21" s="1">
        <f t="shared" si="1"/>
        <v>113.46803743153549</v>
      </c>
      <c r="H21" s="14">
        <f t="shared" si="2"/>
        <v>23.500000000000011</v>
      </c>
      <c r="I21" s="14" t="str">
        <f t="shared" si="3"/>
        <v>cits</v>
      </c>
      <c r="L21" s="42">
        <v>12</v>
      </c>
      <c r="M21" s="59" t="s">
        <v>3910</v>
      </c>
      <c r="N21" s="59"/>
      <c r="O21" s="59"/>
      <c r="P21" s="59"/>
      <c r="Q21" s="59"/>
      <c r="R21" s="59"/>
      <c r="S21" s="1" t="s">
        <v>3884</v>
      </c>
    </row>
    <row r="22" spans="1:19" ht="15" customHeight="1" x14ac:dyDescent="0.2">
      <c r="A22" s="1">
        <v>45</v>
      </c>
      <c r="B22" s="14">
        <f t="shared" si="4"/>
        <v>67.5</v>
      </c>
      <c r="C22" s="14">
        <f t="shared" si="0"/>
        <v>144.68913807052004</v>
      </c>
      <c r="D22" s="1">
        <v>47</v>
      </c>
      <c r="E22" s="1">
        <v>61.408459349189698</v>
      </c>
      <c r="F22" s="1">
        <v>61.408459349189698</v>
      </c>
      <c r="G22" s="1">
        <f t="shared" si="1"/>
        <v>169.8169186983794</v>
      </c>
      <c r="H22" s="14">
        <f t="shared" si="2"/>
        <v>56.734018715767732</v>
      </c>
      <c r="I22" s="14" t="str">
        <f t="shared" si="3"/>
        <v>cits</v>
      </c>
      <c r="M22" s="59"/>
      <c r="N22" s="59"/>
      <c r="O22" s="59"/>
      <c r="P22" s="59"/>
      <c r="Q22" s="59"/>
      <c r="R22" s="59"/>
    </row>
    <row r="23" spans="1:19" ht="15" customHeight="1" x14ac:dyDescent="0.2">
      <c r="A23" s="1">
        <v>85</v>
      </c>
      <c r="B23" s="14">
        <f t="shared" si="4"/>
        <v>47.5</v>
      </c>
      <c r="C23" s="14">
        <f t="shared" si="0"/>
        <v>108.21869720034998</v>
      </c>
      <c r="D23" s="1">
        <v>58</v>
      </c>
      <c r="E23" s="1">
        <v>42.925429754745572</v>
      </c>
      <c r="F23" s="1">
        <v>42.925429754745572</v>
      </c>
      <c r="G23" s="1">
        <f t="shared" si="1"/>
        <v>143.85085950949116</v>
      </c>
      <c r="H23" s="14">
        <f t="shared" si="2"/>
        <v>31.647946531008873</v>
      </c>
      <c r="I23" s="14" t="str">
        <f t="shared" si="3"/>
        <v>cits</v>
      </c>
      <c r="M23" s="59"/>
      <c r="N23" s="59"/>
      <c r="O23" s="59"/>
      <c r="P23" s="59"/>
      <c r="Q23" s="59"/>
      <c r="R23" s="59"/>
    </row>
    <row r="24" spans="1:19" ht="15" customHeight="1" x14ac:dyDescent="0.2">
      <c r="A24" s="1">
        <v>42</v>
      </c>
      <c r="B24" s="14">
        <f t="shared" si="4"/>
        <v>69</v>
      </c>
      <c r="C24" s="14">
        <f t="shared" si="0"/>
        <v>208.96590909919342</v>
      </c>
      <c r="D24" s="1">
        <v>58</v>
      </c>
      <c r="E24" s="1">
        <v>80.922415179134745</v>
      </c>
      <c r="F24" s="1">
        <v>80.922415179134745</v>
      </c>
      <c r="G24" s="1">
        <f t="shared" si="1"/>
        <v>219.84483035826952</v>
      </c>
      <c r="H24" s="14">
        <f t="shared" si="2"/>
        <v>75.547582876120245</v>
      </c>
      <c r="I24" s="14" t="str">
        <f t="shared" si="3"/>
        <v>cits</v>
      </c>
    </row>
    <row r="25" spans="1:19" ht="15" customHeight="1" x14ac:dyDescent="0.2">
      <c r="A25" s="1">
        <v>92</v>
      </c>
      <c r="B25" s="14">
        <f t="shared" si="4"/>
        <v>44</v>
      </c>
      <c r="C25" s="14">
        <f t="shared" si="0"/>
        <v>102.63730782444721</v>
      </c>
      <c r="D25" s="1">
        <v>60</v>
      </c>
      <c r="E25" s="1">
        <v>41.704907730500366</v>
      </c>
      <c r="F25" s="1">
        <v>41.704907730500366</v>
      </c>
      <c r="G25" s="1">
        <f t="shared" si="1"/>
        <v>143.40981546100073</v>
      </c>
      <c r="H25" s="14">
        <f t="shared" si="2"/>
        <v>28.970663244212226</v>
      </c>
      <c r="I25" s="14" t="str">
        <f t="shared" si="3"/>
        <v>platlenķa</v>
      </c>
      <c r="L25" s="42">
        <v>13</v>
      </c>
      <c r="M25" s="59" t="s">
        <v>3889</v>
      </c>
      <c r="N25" s="59"/>
      <c r="O25" s="59"/>
      <c r="P25" s="59"/>
      <c r="Q25" s="59"/>
      <c r="R25" s="59"/>
      <c r="S25" s="1" t="s">
        <v>3885</v>
      </c>
    </row>
    <row r="26" spans="1:19" ht="15" customHeight="1" x14ac:dyDescent="0.2">
      <c r="A26" s="1">
        <v>103</v>
      </c>
      <c r="B26" s="14">
        <f t="shared" si="4"/>
        <v>38.5</v>
      </c>
      <c r="C26" s="14">
        <f t="shared" si="0"/>
        <v>88.776740657881021</v>
      </c>
      <c r="D26" s="1">
        <v>61</v>
      </c>
      <c r="E26" s="1">
        <v>38.972249053304665</v>
      </c>
      <c r="F26" s="1">
        <v>38.972249053304665</v>
      </c>
      <c r="G26" s="1">
        <f t="shared" si="1"/>
        <v>138.94449810660933</v>
      </c>
      <c r="H26" s="14">
        <f t="shared" si="2"/>
        <v>24.260795458368762</v>
      </c>
      <c r="I26" s="14" t="str">
        <f t="shared" si="3"/>
        <v>platlenķa</v>
      </c>
      <c r="L26" s="42"/>
      <c r="M26" s="59"/>
      <c r="N26" s="59"/>
      <c r="O26" s="59"/>
      <c r="P26" s="59"/>
      <c r="Q26" s="59"/>
      <c r="R26" s="59"/>
    </row>
    <row r="27" spans="1:19" ht="15" customHeight="1" x14ac:dyDescent="0.2">
      <c r="A27" s="1">
        <v>62</v>
      </c>
      <c r="B27" s="14">
        <f t="shared" si="4"/>
        <v>59</v>
      </c>
      <c r="C27" s="14">
        <f t="shared" si="0"/>
        <v>167.4852995065267</v>
      </c>
      <c r="D27" s="1">
        <v>62</v>
      </c>
      <c r="E27" s="1">
        <v>60.189724818721054</v>
      </c>
      <c r="F27" s="1">
        <v>60.189724818721054</v>
      </c>
      <c r="G27" s="1">
        <f t="shared" si="1"/>
        <v>182.37944963744212</v>
      </c>
      <c r="H27" s="14">
        <f t="shared" si="2"/>
        <v>51.592663952866062</v>
      </c>
      <c r="I27" s="14" t="str">
        <f t="shared" si="3"/>
        <v>cits</v>
      </c>
      <c r="L27" s="42"/>
      <c r="M27" s="59"/>
      <c r="N27" s="59"/>
      <c r="O27" s="59"/>
      <c r="P27" s="59"/>
      <c r="Q27" s="59"/>
      <c r="R27" s="59"/>
    </row>
    <row r="28" spans="1:19" ht="15" customHeight="1" x14ac:dyDescent="0.2">
      <c r="A28" s="1">
        <v>109</v>
      </c>
      <c r="B28" s="14">
        <f t="shared" si="4"/>
        <v>35.5</v>
      </c>
      <c r="C28" s="14">
        <f t="shared" si="0"/>
        <v>88.532676157362133</v>
      </c>
      <c r="D28" s="1">
        <v>65</v>
      </c>
      <c r="E28" s="1">
        <v>39.920624613097615</v>
      </c>
      <c r="F28" s="1">
        <v>39.920624613097615</v>
      </c>
      <c r="G28" s="1">
        <f t="shared" si="1"/>
        <v>144.84124922619523</v>
      </c>
      <c r="H28" s="14">
        <f t="shared" si="2"/>
        <v>23.182024706652676</v>
      </c>
      <c r="I28" s="14" t="str">
        <f t="shared" si="3"/>
        <v>platlenķa</v>
      </c>
    </row>
    <row r="29" spans="1:19" ht="15" customHeight="1" x14ac:dyDescent="0.2">
      <c r="A29" s="1">
        <v>96</v>
      </c>
      <c r="B29" s="14">
        <f t="shared" si="4"/>
        <v>42</v>
      </c>
      <c r="C29" s="14">
        <f t="shared" si="0"/>
        <v>111.44955542246159</v>
      </c>
      <c r="D29" s="1">
        <v>66</v>
      </c>
      <c r="E29" s="1">
        <v>44.405880077010409</v>
      </c>
      <c r="F29" s="1">
        <v>44.405880077010409</v>
      </c>
      <c r="G29" s="1">
        <f t="shared" si="1"/>
        <v>154.81176015402082</v>
      </c>
      <c r="H29" s="14">
        <f t="shared" si="2"/>
        <v>29.713333461828714</v>
      </c>
      <c r="I29" s="14" t="str">
        <f t="shared" si="3"/>
        <v>platlenķa</v>
      </c>
      <c r="L29" s="42">
        <v>14</v>
      </c>
      <c r="M29" s="60" t="s">
        <v>52</v>
      </c>
      <c r="N29" s="60"/>
      <c r="O29" s="60"/>
      <c r="P29" s="60"/>
      <c r="Q29" s="60"/>
      <c r="R29" s="60"/>
      <c r="S29" s="1" t="s">
        <v>3885</v>
      </c>
    </row>
    <row r="30" spans="1:19" ht="15" customHeight="1" x14ac:dyDescent="0.2">
      <c r="A30" s="1">
        <v>118</v>
      </c>
      <c r="B30" s="14">
        <f t="shared" si="4"/>
        <v>31</v>
      </c>
      <c r="C30" s="14">
        <f t="shared" si="0"/>
        <v>79.149510774447009</v>
      </c>
      <c r="D30" s="1">
        <v>67</v>
      </c>
      <c r="E30" s="1">
        <v>39.08221880671357</v>
      </c>
      <c r="F30" s="1">
        <v>39.08221880671357</v>
      </c>
      <c r="G30" s="1">
        <f t="shared" si="1"/>
        <v>145.16443761342714</v>
      </c>
      <c r="H30" s="14">
        <f t="shared" si="2"/>
        <v>20.128830737423272</v>
      </c>
      <c r="I30" s="14" t="str">
        <f t="shared" si="3"/>
        <v>platlenķa</v>
      </c>
      <c r="L30" s="42"/>
      <c r="M30" s="60"/>
      <c r="N30" s="60"/>
      <c r="O30" s="60"/>
      <c r="P30" s="60"/>
      <c r="Q30" s="60"/>
      <c r="R30" s="60"/>
    </row>
    <row r="31" spans="1:19" ht="15" customHeight="1" x14ac:dyDescent="0.2">
      <c r="A31" s="1">
        <v>96</v>
      </c>
      <c r="B31" s="14">
        <f t="shared" si="4"/>
        <v>42</v>
      </c>
      <c r="C31" s="14">
        <f t="shared" si="0"/>
        <v>198.57292748132878</v>
      </c>
      <c r="D31" s="1">
        <v>97</v>
      </c>
      <c r="E31" s="1">
        <v>65.263187385909234</v>
      </c>
      <c r="F31" s="1">
        <v>65.263187385909234</v>
      </c>
      <c r="G31" s="1">
        <f t="shared" si="1"/>
        <v>227.5263747718185</v>
      </c>
      <c r="H31" s="14">
        <f t="shared" si="2"/>
        <v>43.669596148445223</v>
      </c>
      <c r="I31" s="14" t="str">
        <f t="shared" si="3"/>
        <v>platlenķa</v>
      </c>
      <c r="L31" s="42"/>
      <c r="M31" s="60"/>
      <c r="N31" s="60"/>
      <c r="O31" s="60"/>
      <c r="P31" s="60"/>
      <c r="Q31" s="60"/>
      <c r="R31" s="60"/>
    </row>
    <row r="32" spans="1:19" ht="15" customHeight="1" x14ac:dyDescent="0.2">
      <c r="A32" s="1">
        <v>14</v>
      </c>
      <c r="B32" s="14">
        <f t="shared" si="4"/>
        <v>83</v>
      </c>
      <c r="C32" s="14">
        <f t="shared" si="0"/>
        <v>543.95249929227748</v>
      </c>
      <c r="D32" s="1">
        <v>69</v>
      </c>
      <c r="E32" s="1">
        <v>283.0900621603152</v>
      </c>
      <c r="F32" s="1">
        <v>283.0900621603152</v>
      </c>
      <c r="G32" s="1">
        <f t="shared" si="1"/>
        <v>635.1801243206304</v>
      </c>
      <c r="H32" s="14">
        <f t="shared" si="2"/>
        <v>280.97995176512347</v>
      </c>
      <c r="I32" s="14" t="str">
        <f t="shared" si="3"/>
        <v>cits</v>
      </c>
      <c r="L32" s="42"/>
      <c r="M32" s="60"/>
      <c r="N32" s="60"/>
      <c r="O32" s="60"/>
      <c r="P32" s="60"/>
      <c r="Q32" s="60"/>
      <c r="R32" s="60"/>
    </row>
    <row r="33" spans="1:19" ht="15" customHeight="1" x14ac:dyDescent="0.2">
      <c r="A33" s="1">
        <v>102</v>
      </c>
      <c r="B33" s="14">
        <f t="shared" si="4"/>
        <v>39</v>
      </c>
      <c r="C33" s="14">
        <f t="shared" si="0"/>
        <v>113.2665015507615</v>
      </c>
      <c r="D33" s="1">
        <v>71</v>
      </c>
      <c r="E33" s="1">
        <v>45.679964589207437</v>
      </c>
      <c r="F33" s="1">
        <v>45.679964589207437</v>
      </c>
      <c r="G33" s="1">
        <f t="shared" si="1"/>
        <v>162.35992917841486</v>
      </c>
      <c r="H33" s="14">
        <f t="shared" si="2"/>
        <v>28.747333178422746</v>
      </c>
      <c r="I33" s="14" t="str">
        <f t="shared" si="3"/>
        <v>platlenķa</v>
      </c>
    </row>
    <row r="34" spans="1:19" ht="15" customHeight="1" x14ac:dyDescent="0.2">
      <c r="A34" s="1">
        <v>102</v>
      </c>
      <c r="B34" s="14">
        <f t="shared" si="4"/>
        <v>39</v>
      </c>
      <c r="C34" s="14">
        <f t="shared" si="0"/>
        <v>113.2665015507615</v>
      </c>
      <c r="D34" s="1">
        <v>71</v>
      </c>
      <c r="E34" s="1">
        <v>45.679964589207437</v>
      </c>
      <c r="F34" s="1">
        <v>45.679964589207437</v>
      </c>
      <c r="G34" s="1">
        <f t="shared" si="1"/>
        <v>162.35992917841486</v>
      </c>
      <c r="H34" s="14">
        <f t="shared" si="2"/>
        <v>28.747333178422746</v>
      </c>
      <c r="I34" s="14" t="str">
        <f t="shared" si="3"/>
        <v>platlenķa</v>
      </c>
      <c r="L34" s="42">
        <v>15</v>
      </c>
      <c r="M34" s="61" t="s">
        <v>53</v>
      </c>
      <c r="N34" s="61"/>
      <c r="O34" s="61"/>
      <c r="P34" s="61"/>
      <c r="Q34" s="61"/>
      <c r="R34" s="61"/>
      <c r="S34" s="1" t="s">
        <v>3885</v>
      </c>
    </row>
    <row r="35" spans="1:19" ht="15" customHeight="1" x14ac:dyDescent="0.2">
      <c r="A35" s="1">
        <v>62</v>
      </c>
      <c r="B35" s="14">
        <f t="shared" si="4"/>
        <v>59</v>
      </c>
      <c r="C35" s="14">
        <f t="shared" si="0"/>
        <v>218.39200706473619</v>
      </c>
      <c r="D35" s="1">
        <v>74</v>
      </c>
      <c r="E35" s="1">
        <v>71.839348977183192</v>
      </c>
      <c r="F35" s="1">
        <v>71.839348977183192</v>
      </c>
      <c r="G35" s="1">
        <f t="shared" si="1"/>
        <v>217.67869795436638</v>
      </c>
      <c r="H35" s="14">
        <f t="shared" si="2"/>
        <v>61.578340846969169</v>
      </c>
      <c r="I35" s="14" t="str">
        <f t="shared" si="3"/>
        <v>cits</v>
      </c>
      <c r="M35" s="61"/>
      <c r="N35" s="61"/>
      <c r="O35" s="61"/>
      <c r="P35" s="61"/>
      <c r="Q35" s="61"/>
      <c r="R35" s="61"/>
    </row>
    <row r="36" spans="1:19" ht="15" customHeight="1" x14ac:dyDescent="0.2">
      <c r="A36" s="1">
        <v>50</v>
      </c>
      <c r="B36" s="14">
        <f t="shared" si="4"/>
        <v>65</v>
      </c>
      <c r="C36" s="14">
        <f t="shared" si="0"/>
        <v>263.06312700837327</v>
      </c>
      <c r="D36" s="1">
        <v>74</v>
      </c>
      <c r="E36" s="1">
        <v>87.549458576642451</v>
      </c>
      <c r="F36" s="1">
        <v>87.549458576642451</v>
      </c>
      <c r="G36" s="1">
        <f t="shared" si="1"/>
        <v>249.0989171532849</v>
      </c>
      <c r="H36" s="14">
        <f t="shared" si="2"/>
        <v>79.346756058853671</v>
      </c>
      <c r="I36" s="14" t="str">
        <f t="shared" si="3"/>
        <v>cits</v>
      </c>
      <c r="M36" s="61"/>
      <c r="N36" s="61"/>
      <c r="O36" s="61"/>
      <c r="P36" s="61"/>
      <c r="Q36" s="61"/>
      <c r="R36" s="61"/>
    </row>
    <row r="37" spans="1:19" ht="15" customHeight="1" x14ac:dyDescent="0.2">
      <c r="A37" s="1">
        <v>128</v>
      </c>
      <c r="B37" s="14">
        <f t="shared" si="4"/>
        <v>26</v>
      </c>
      <c r="C37" s="14">
        <f t="shared" si="0"/>
        <v>80.161167103342038</v>
      </c>
      <c r="D37" s="1">
        <v>77</v>
      </c>
      <c r="E37" s="1">
        <v>42.835174708294772</v>
      </c>
      <c r="F37" s="1">
        <v>42.835174708294772</v>
      </c>
      <c r="G37" s="1">
        <f t="shared" si="1"/>
        <v>162.67034941658954</v>
      </c>
      <c r="H37" s="14">
        <f t="shared" si="2"/>
        <v>18.777704659785662</v>
      </c>
      <c r="I37" s="14" t="str">
        <f t="shared" si="3"/>
        <v>platlenķa</v>
      </c>
      <c r="M37" s="61"/>
      <c r="N37" s="61"/>
      <c r="O37" s="61"/>
      <c r="P37" s="61"/>
      <c r="Q37" s="61"/>
      <c r="R37" s="61"/>
    </row>
    <row r="38" spans="1:19" ht="15" customHeight="1" x14ac:dyDescent="0.2">
      <c r="A38" s="1">
        <v>16</v>
      </c>
      <c r="B38" s="14">
        <f t="shared" si="4"/>
        <v>82</v>
      </c>
      <c r="C38" s="14">
        <f t="shared" si="0"/>
        <v>605.72733562204871</v>
      </c>
      <c r="D38" s="1">
        <v>78</v>
      </c>
      <c r="E38" s="1">
        <v>280.22656483878109</v>
      </c>
      <c r="F38" s="1">
        <v>280.22656483878109</v>
      </c>
      <c r="G38" s="1">
        <f t="shared" si="1"/>
        <v>638.45312967756217</v>
      </c>
      <c r="H38" s="14">
        <f t="shared" si="2"/>
        <v>277.49941917298418</v>
      </c>
      <c r="I38" s="14" t="str">
        <f t="shared" si="3"/>
        <v>cits</v>
      </c>
    </row>
    <row r="39" spans="1:19" ht="15" customHeight="1" x14ac:dyDescent="0.2">
      <c r="A39" s="1">
        <v>11</v>
      </c>
      <c r="B39" s="14">
        <f t="shared" si="4"/>
        <v>84.5</v>
      </c>
      <c r="C39" s="14">
        <f t="shared" si="0"/>
        <v>748.05191349941231</v>
      </c>
      <c r="D39" s="1">
        <v>78</v>
      </c>
      <c r="E39" s="1">
        <v>406.90379046031052</v>
      </c>
      <c r="F39" s="1">
        <v>406.90379046031052</v>
      </c>
      <c r="G39" s="1">
        <f t="shared" si="1"/>
        <v>891.80758092062104</v>
      </c>
      <c r="H39" s="14">
        <f t="shared" si="2"/>
        <v>405.03048612538822</v>
      </c>
      <c r="I39" s="14" t="str">
        <f t="shared" si="3"/>
        <v>cits</v>
      </c>
      <c r="M39" s="55"/>
      <c r="N39" s="55"/>
      <c r="O39" s="55"/>
      <c r="P39" s="55"/>
      <c r="Q39" s="55"/>
      <c r="R39" s="55"/>
    </row>
    <row r="40" spans="1:19" ht="15" customHeight="1" x14ac:dyDescent="0.2">
      <c r="A40" s="1">
        <v>60</v>
      </c>
      <c r="B40" s="14">
        <f t="shared" si="4"/>
        <v>60</v>
      </c>
      <c r="C40" s="14">
        <f t="shared" si="0"/>
        <v>262.52809373474668</v>
      </c>
      <c r="D40" s="1">
        <v>82</v>
      </c>
      <c r="E40" s="1">
        <v>82.000000000000014</v>
      </c>
      <c r="F40" s="1">
        <v>82.000000000000014</v>
      </c>
      <c r="G40" s="1">
        <f t="shared" si="1"/>
        <v>246</v>
      </c>
      <c r="H40" s="14">
        <f t="shared" si="2"/>
        <v>71.014083110323995</v>
      </c>
      <c r="I40" s="14" t="str">
        <f t="shared" si="3"/>
        <v>cits</v>
      </c>
      <c r="M40" s="55"/>
      <c r="N40" s="55"/>
      <c r="O40" s="55"/>
      <c r="P40" s="55"/>
      <c r="Q40" s="55"/>
      <c r="R40" s="55"/>
    </row>
    <row r="41" spans="1:19" ht="15" customHeight="1" x14ac:dyDescent="0.2">
      <c r="A41" s="1">
        <v>29</v>
      </c>
      <c r="B41" s="14">
        <f t="shared" si="4"/>
        <v>75.5</v>
      </c>
      <c r="C41" s="14">
        <f t="shared" si="0"/>
        <v>487.89171539868681</v>
      </c>
      <c r="D41" s="1">
        <v>86</v>
      </c>
      <c r="E41" s="1">
        <v>171.73895400469075</v>
      </c>
      <c r="F41" s="1">
        <v>171.73895400469075</v>
      </c>
      <c r="G41" s="1">
        <f t="shared" si="1"/>
        <v>429.47790800938151</v>
      </c>
      <c r="H41" s="14">
        <f t="shared" si="2"/>
        <v>166.26866308064572</v>
      </c>
      <c r="I41" s="14" t="str">
        <f t="shared" si="3"/>
        <v>cits</v>
      </c>
    </row>
    <row r="42" spans="1:19" ht="15" customHeight="1" x14ac:dyDescent="0.2">
      <c r="A42" s="1">
        <v>25</v>
      </c>
      <c r="B42" s="14">
        <f t="shared" si="4"/>
        <v>77.5</v>
      </c>
      <c r="C42" s="14">
        <f t="shared" si="0"/>
        <v>555.32455235328314</v>
      </c>
      <c r="D42" s="1">
        <v>88</v>
      </c>
      <c r="E42" s="1">
        <v>203.28995787519315</v>
      </c>
      <c r="F42" s="1">
        <v>203.28995787519315</v>
      </c>
      <c r="G42" s="1">
        <f t="shared" si="1"/>
        <v>494.57991575038636</v>
      </c>
      <c r="H42" s="14">
        <f t="shared" si="2"/>
        <v>198.47117416113053</v>
      </c>
      <c r="I42" s="14" t="str">
        <f t="shared" si="3"/>
        <v>cits</v>
      </c>
    </row>
    <row r="43" spans="1:19" ht="15" customHeight="1" x14ac:dyDescent="0.2">
      <c r="A43" s="1">
        <v>88</v>
      </c>
      <c r="B43" s="14">
        <f t="shared" si="4"/>
        <v>46</v>
      </c>
      <c r="C43" s="14">
        <f t="shared" si="0"/>
        <v>203.48128326774258</v>
      </c>
      <c r="D43" s="1">
        <v>91</v>
      </c>
      <c r="E43" s="1">
        <v>65.499822552970556</v>
      </c>
      <c r="F43" s="1">
        <v>65.499822552970556</v>
      </c>
      <c r="G43" s="1">
        <f t="shared" si="1"/>
        <v>221.99964510594111</v>
      </c>
      <c r="H43" s="14">
        <f t="shared" si="2"/>
        <v>47.116629277470921</v>
      </c>
      <c r="I43" s="14" t="str">
        <f t="shared" si="3"/>
        <v>cits</v>
      </c>
    </row>
    <row r="44" spans="1:19" ht="15" customHeight="1" x14ac:dyDescent="0.2">
      <c r="A44" s="1">
        <v>28</v>
      </c>
      <c r="B44" s="14">
        <f t="shared" si="4"/>
        <v>76</v>
      </c>
      <c r="C44" s="14">
        <f t="shared" si="0"/>
        <v>543.29596943214335</v>
      </c>
      <c r="D44" s="1">
        <v>91</v>
      </c>
      <c r="E44" s="1">
        <v>188.0772299969631</v>
      </c>
      <c r="F44" s="1">
        <v>188.0772299969631</v>
      </c>
      <c r="G44" s="1">
        <f t="shared" si="1"/>
        <v>467.15445999392614</v>
      </c>
      <c r="H44" s="14">
        <f t="shared" si="2"/>
        <v>182.49053247588094</v>
      </c>
      <c r="I44" s="14" t="str">
        <f t="shared" si="3"/>
        <v>cits</v>
      </c>
    </row>
    <row r="45" spans="1:19" ht="15" customHeight="1" x14ac:dyDescent="0.2">
      <c r="A45" s="1">
        <v>91</v>
      </c>
      <c r="B45" s="14">
        <f t="shared" si="4"/>
        <v>44.5</v>
      </c>
      <c r="C45" s="14">
        <f t="shared" si="0"/>
        <v>201.05263788555408</v>
      </c>
      <c r="D45" s="1">
        <v>93</v>
      </c>
      <c r="E45" s="1">
        <v>65.194491016644577</v>
      </c>
      <c r="F45" s="1">
        <v>65.194491016644577</v>
      </c>
      <c r="G45" s="1">
        <f t="shared" si="1"/>
        <v>223.38898203328915</v>
      </c>
      <c r="H45" s="14">
        <f t="shared" si="2"/>
        <v>45.695422734879592</v>
      </c>
      <c r="I45" s="14" t="str">
        <f t="shared" si="3"/>
        <v>platlenķa</v>
      </c>
    </row>
    <row r="46" spans="1:19" ht="15" customHeight="1" x14ac:dyDescent="0.2">
      <c r="A46" s="1">
        <v>15</v>
      </c>
      <c r="B46" s="14">
        <f t="shared" si="4"/>
        <v>82.5</v>
      </c>
      <c r="C46" s="14">
        <f t="shared" si="0"/>
        <v>1096.1048243584246</v>
      </c>
      <c r="D46" s="1">
        <v>113</v>
      </c>
      <c r="E46" s="1">
        <v>432.86331301803204</v>
      </c>
      <c r="F46" s="1">
        <v>432.86331301803204</v>
      </c>
      <c r="G46" s="1">
        <f t="shared" si="1"/>
        <v>978.72662603606409</v>
      </c>
      <c r="H46" s="14">
        <f t="shared" si="2"/>
        <v>429.16010736897107</v>
      </c>
      <c r="I46" s="14" t="str">
        <f t="shared" si="3"/>
        <v>cits</v>
      </c>
    </row>
    <row r="47" spans="1:19" ht="15" customHeight="1" x14ac:dyDescent="0.2">
      <c r="A47" s="1">
        <v>127</v>
      </c>
      <c r="B47" s="14">
        <f t="shared" si="4"/>
        <v>26.5</v>
      </c>
      <c r="C47" s="14">
        <f t="shared" si="0"/>
        <v>126.63262329027484</v>
      </c>
      <c r="D47" s="1">
        <v>103</v>
      </c>
      <c r="E47" s="1">
        <v>57.546119815770254</v>
      </c>
      <c r="F47" s="1">
        <v>57.546119815770254</v>
      </c>
      <c r="G47" s="1">
        <f t="shared" si="1"/>
        <v>218.09223963154051</v>
      </c>
      <c r="H47" s="14">
        <f t="shared" si="2"/>
        <v>25.676952814751708</v>
      </c>
      <c r="I47" s="14" t="str">
        <f t="shared" si="3"/>
        <v>platlenķa</v>
      </c>
    </row>
    <row r="48" spans="1:19" ht="15" customHeight="1" x14ac:dyDescent="0.2">
      <c r="A48" s="1">
        <v>12</v>
      </c>
      <c r="B48" s="14">
        <f t="shared" si="4"/>
        <v>84</v>
      </c>
      <c r="C48" s="14">
        <f t="shared" si="0"/>
        <v>1129.334029332161</v>
      </c>
      <c r="D48" s="1">
        <v>106</v>
      </c>
      <c r="E48" s="1">
        <v>507.03892837579821</v>
      </c>
      <c r="F48" s="1">
        <v>507.03892837579821</v>
      </c>
      <c r="G48" s="1">
        <f t="shared" si="1"/>
        <v>1120.0778567515963</v>
      </c>
      <c r="H48" s="14">
        <f t="shared" si="2"/>
        <v>504.26131607379705</v>
      </c>
      <c r="I48" s="14" t="str">
        <f t="shared" si="3"/>
        <v>cits</v>
      </c>
    </row>
    <row r="49" spans="1:9" ht="15" customHeight="1" x14ac:dyDescent="0.2">
      <c r="A49" s="1">
        <v>38</v>
      </c>
      <c r="B49" s="14">
        <f t="shared" si="4"/>
        <v>71</v>
      </c>
      <c r="C49" s="14">
        <f t="shared" si="0"/>
        <v>571.13492122154673</v>
      </c>
      <c r="D49" s="1">
        <v>108</v>
      </c>
      <c r="E49" s="1">
        <v>165.86388828489106</v>
      </c>
      <c r="F49" s="1">
        <v>165.86388828489106</v>
      </c>
      <c r="G49" s="1">
        <f t="shared" si="1"/>
        <v>439.72777656978212</v>
      </c>
      <c r="H49" s="14">
        <f t="shared" si="2"/>
        <v>156.82738739449439</v>
      </c>
      <c r="I49" s="14" t="str">
        <f t="shared" si="3"/>
        <v>cits</v>
      </c>
    </row>
    <row r="50" spans="1:9" ht="15" customHeight="1" x14ac:dyDescent="0.2">
      <c r="A50" s="1">
        <v>105</v>
      </c>
      <c r="B50" s="14">
        <f t="shared" si="4"/>
        <v>37.5</v>
      </c>
      <c r="C50" s="14">
        <f t="shared" si="0"/>
        <v>216.74722165409904</v>
      </c>
      <c r="D50" s="1">
        <v>113</v>
      </c>
      <c r="E50" s="1">
        <v>71.216691391579943</v>
      </c>
      <c r="F50" s="1">
        <v>71.216691391579943</v>
      </c>
      <c r="G50" s="1">
        <f t="shared" si="1"/>
        <v>255.43338278315991</v>
      </c>
      <c r="H50" s="14">
        <f t="shared" si="2"/>
        <v>43.353974820811253</v>
      </c>
      <c r="I50" s="14" t="str">
        <f t="shared" si="3"/>
        <v>platlenķa</v>
      </c>
    </row>
    <row r="51" spans="1:9" ht="15" customHeight="1" x14ac:dyDescent="0.2">
      <c r="A51" s="1">
        <v>70</v>
      </c>
      <c r="B51" s="14">
        <f t="shared" si="4"/>
        <v>55</v>
      </c>
      <c r="C51" s="14">
        <f t="shared" si="0"/>
        <v>385.79691106123033</v>
      </c>
      <c r="D51" s="1">
        <v>117</v>
      </c>
      <c r="E51" s="1">
        <v>101.99163754383424</v>
      </c>
      <c r="F51" s="1">
        <v>101.99163754383424</v>
      </c>
      <c r="G51" s="1">
        <f t="shared" si="1"/>
        <v>320.98327508766852</v>
      </c>
      <c r="H51" s="14">
        <f t="shared" si="2"/>
        <v>83.546658394413711</v>
      </c>
      <c r="I51" s="14" t="str">
        <f t="shared" si="3"/>
        <v>cits</v>
      </c>
    </row>
    <row r="52" spans="1:9" ht="15" customHeight="1" x14ac:dyDescent="0.2">
      <c r="A52" s="1">
        <v>49</v>
      </c>
      <c r="B52" s="14">
        <f t="shared" si="4"/>
        <v>65.5</v>
      </c>
      <c r="C52" s="14">
        <f t="shared" si="0"/>
        <v>552.14757010931976</v>
      </c>
      <c r="D52" s="1">
        <v>120</v>
      </c>
      <c r="E52" s="1">
        <v>144.68526088267404</v>
      </c>
      <c r="F52" s="1">
        <v>144.68526088267404</v>
      </c>
      <c r="G52" s="1">
        <f t="shared" si="1"/>
        <v>409.37052176534803</v>
      </c>
      <c r="H52" s="14">
        <f t="shared" si="2"/>
        <v>131.65798386990227</v>
      </c>
      <c r="I52" s="14" t="str">
        <f t="shared" si="3"/>
        <v>cits</v>
      </c>
    </row>
    <row r="53" spans="1:9" ht="15" customHeight="1" x14ac:dyDescent="0.2">
      <c r="A53" s="1">
        <v>46</v>
      </c>
      <c r="B53" s="14">
        <f t="shared" si="4"/>
        <v>67</v>
      </c>
      <c r="C53" s="14">
        <f t="shared" si="0"/>
        <v>609.61132064545461</v>
      </c>
      <c r="D53" s="1">
        <v>124</v>
      </c>
      <c r="E53" s="1">
        <v>158.67688924534204</v>
      </c>
      <c r="F53" s="1">
        <v>158.67688924534204</v>
      </c>
      <c r="G53" s="1">
        <f t="shared" si="1"/>
        <v>441.35377849068414</v>
      </c>
      <c r="H53" s="14">
        <f t="shared" si="2"/>
        <v>146.06284668107267</v>
      </c>
      <c r="I53" s="14" t="str">
        <f t="shared" si="3"/>
        <v>cits</v>
      </c>
    </row>
    <row r="54" spans="1:9" ht="15" customHeight="1" x14ac:dyDescent="0.2">
      <c r="A54" s="1">
        <v>14</v>
      </c>
      <c r="B54" s="14">
        <f t="shared" si="4"/>
        <v>83</v>
      </c>
      <c r="C54" s="14">
        <f t="shared" si="0"/>
        <v>1342.2801201524708</v>
      </c>
      <c r="D54" s="1">
        <v>126</v>
      </c>
      <c r="E54" s="1">
        <v>516.94707003188</v>
      </c>
      <c r="F54" s="1">
        <v>516.94707003188</v>
      </c>
      <c r="G54" s="1">
        <f t="shared" si="1"/>
        <v>1159.89414006376</v>
      </c>
      <c r="H54" s="14">
        <f t="shared" si="2"/>
        <v>513.09382496239948</v>
      </c>
      <c r="I54" s="14" t="str">
        <f t="shared" si="3"/>
        <v>cits</v>
      </c>
    </row>
    <row r="55" spans="1:9" ht="15" customHeight="1" x14ac:dyDescent="0.2">
      <c r="A55" s="1">
        <v>33</v>
      </c>
      <c r="B55" s="14">
        <f t="shared" si="4"/>
        <v>73.5</v>
      </c>
      <c r="C55" s="14">
        <f t="shared" si="0"/>
        <v>861.02036390722947</v>
      </c>
      <c r="D55" s="1">
        <v>133</v>
      </c>
      <c r="E55" s="1">
        <v>234.14227871851159</v>
      </c>
      <c r="F55" s="1">
        <v>234.14227871851159</v>
      </c>
      <c r="G55" s="1">
        <f t="shared" si="1"/>
        <v>601.28455743702318</v>
      </c>
      <c r="H55" s="14">
        <f t="shared" si="2"/>
        <v>224.50023760231784</v>
      </c>
      <c r="I55" s="14" t="str">
        <f t="shared" si="3"/>
        <v>cits</v>
      </c>
    </row>
    <row r="56" spans="1:9" ht="15" customHeight="1" x14ac:dyDescent="0.2">
      <c r="A56" s="1">
        <v>90</v>
      </c>
      <c r="B56" s="14">
        <f t="shared" si="4"/>
        <v>45</v>
      </c>
      <c r="C56" s="14">
        <f t="shared" si="0"/>
        <v>356.91747882453581</v>
      </c>
      <c r="D56" s="1">
        <v>135</v>
      </c>
      <c r="E56" s="1">
        <v>95.459415460183919</v>
      </c>
      <c r="F56" s="1">
        <v>95.459415460183919</v>
      </c>
      <c r="G56" s="1">
        <f t="shared" si="1"/>
        <v>325.91883092036784</v>
      </c>
      <c r="H56" s="14">
        <f t="shared" si="2"/>
        <v>67.5</v>
      </c>
      <c r="I56" s="14" t="str">
        <f t="shared" si="3"/>
        <v>cits</v>
      </c>
    </row>
    <row r="57" spans="1:9" ht="15" customHeight="1" x14ac:dyDescent="0.2">
      <c r="A57" s="1">
        <v>58</v>
      </c>
      <c r="B57" s="14">
        <f t="shared" si="4"/>
        <v>61</v>
      </c>
      <c r="C57" s="14">
        <f t="shared" si="0"/>
        <v>584.43217196766261</v>
      </c>
      <c r="D57" s="1">
        <v>137</v>
      </c>
      <c r="E57" s="1">
        <v>141.29257576447102</v>
      </c>
      <c r="F57" s="1">
        <v>141.29257576447102</v>
      </c>
      <c r="G57" s="1">
        <f t="shared" si="1"/>
        <v>419.58515152894211</v>
      </c>
      <c r="H57" s="14">
        <f t="shared" si="2"/>
        <v>123.57727123609253</v>
      </c>
      <c r="I57" s="14" t="str">
        <f t="shared" si="3"/>
        <v>cits</v>
      </c>
    </row>
    <row r="58" spans="1:9" ht="15" customHeight="1" x14ac:dyDescent="0.2">
      <c r="A58" s="1">
        <v>119</v>
      </c>
      <c r="B58" s="14">
        <f t="shared" si="4"/>
        <v>30.5</v>
      </c>
      <c r="C58" s="14">
        <f t="shared" si="0"/>
        <v>227.19457185578287</v>
      </c>
      <c r="D58" s="1">
        <v>137</v>
      </c>
      <c r="E58" s="1">
        <v>79.500559109325479</v>
      </c>
      <c r="F58" s="1">
        <v>79.500559109325479</v>
      </c>
      <c r="G58" s="1">
        <f t="shared" si="1"/>
        <v>296.00111821865096</v>
      </c>
      <c r="H58" s="14">
        <f t="shared" si="2"/>
        <v>40.349583624807757</v>
      </c>
      <c r="I58" s="14" t="str">
        <f t="shared" si="3"/>
        <v>platlenķa</v>
      </c>
    </row>
    <row r="59" spans="1:9" ht="15" customHeight="1" x14ac:dyDescent="0.2">
      <c r="A59" s="1">
        <v>38</v>
      </c>
      <c r="B59" s="14">
        <f t="shared" si="4"/>
        <v>71</v>
      </c>
      <c r="C59" s="14">
        <f t="shared" si="0"/>
        <v>861.06432976797453</v>
      </c>
      <c r="D59" s="1">
        <v>142</v>
      </c>
      <c r="E59" s="1">
        <v>218.08029755976418</v>
      </c>
      <c r="F59" s="1">
        <v>218.08029755976418</v>
      </c>
      <c r="G59" s="1">
        <f t="shared" si="1"/>
        <v>578.16059511952835</v>
      </c>
      <c r="H59" s="14">
        <f t="shared" si="2"/>
        <v>206.19897231498339</v>
      </c>
      <c r="I59" s="14" t="str">
        <f t="shared" si="3"/>
        <v>cits</v>
      </c>
    </row>
    <row r="60" spans="1:9" ht="15" customHeight="1" x14ac:dyDescent="0.2">
      <c r="A60" s="1">
        <v>33</v>
      </c>
      <c r="B60" s="14">
        <f t="shared" si="4"/>
        <v>73.5</v>
      </c>
      <c r="C60" s="14">
        <f t="shared" si="0"/>
        <v>1093.7620712145194</v>
      </c>
      <c r="D60" s="1">
        <v>156</v>
      </c>
      <c r="E60" s="1">
        <v>274.63304872246471</v>
      </c>
      <c r="F60" s="1">
        <v>274.63304872246471</v>
      </c>
      <c r="G60" s="1">
        <f t="shared" si="1"/>
        <v>705.26609744492941</v>
      </c>
      <c r="H60" s="14">
        <f t="shared" si="2"/>
        <v>263.32358696211713</v>
      </c>
      <c r="I60" s="14" t="str">
        <f t="shared" si="3"/>
        <v>cits</v>
      </c>
    </row>
    <row r="61" spans="1:9" ht="15" customHeight="1" x14ac:dyDescent="0.2">
      <c r="A61" s="1">
        <v>126</v>
      </c>
      <c r="B61" s="14">
        <f t="shared" si="4"/>
        <v>27</v>
      </c>
      <c r="C61" s="14">
        <f t="shared" si="0"/>
        <v>245.5842134116273</v>
      </c>
      <c r="D61" s="1">
        <v>158</v>
      </c>
      <c r="E61" s="1">
        <v>88.663772773114516</v>
      </c>
      <c r="F61" s="1">
        <v>88.663772773114516</v>
      </c>
      <c r="G61" s="1">
        <f t="shared" si="1"/>
        <v>335.32754554622903</v>
      </c>
      <c r="H61" s="14">
        <f t="shared" si="2"/>
        <v>40.252510510059906</v>
      </c>
      <c r="I61" s="14" t="str">
        <f t="shared" si="3"/>
        <v>platlenķa</v>
      </c>
    </row>
    <row r="62" spans="1:9" ht="15" customHeight="1" x14ac:dyDescent="0.2">
      <c r="A62" s="1">
        <v>118</v>
      </c>
      <c r="B62" s="14">
        <f t="shared" si="4"/>
        <v>31</v>
      </c>
      <c r="C62" s="14">
        <f t="shared" si="0"/>
        <v>289.3554836799197</v>
      </c>
      <c r="D62" s="1">
        <v>159</v>
      </c>
      <c r="E62" s="1">
        <v>92.747355078618767</v>
      </c>
      <c r="F62" s="1">
        <v>92.747355078618767</v>
      </c>
      <c r="G62" s="1">
        <f t="shared" si="1"/>
        <v>344.49471015723753</v>
      </c>
      <c r="H62" s="14">
        <f t="shared" si="2"/>
        <v>47.768419212691043</v>
      </c>
      <c r="I62" s="14" t="str">
        <f t="shared" si="3"/>
        <v>platlenķa</v>
      </c>
    </row>
    <row r="63" spans="1:9" ht="15" customHeight="1" x14ac:dyDescent="0.2">
      <c r="A63" s="1">
        <v>38</v>
      </c>
      <c r="B63" s="14">
        <f t="shared" si="4"/>
        <v>71</v>
      </c>
      <c r="C63" s="14">
        <f t="shared" si="0"/>
        <v>1098.190768781365</v>
      </c>
      <c r="D63" s="1">
        <v>167</v>
      </c>
      <c r="E63" s="1">
        <v>256.47471614422972</v>
      </c>
      <c r="F63" s="1">
        <v>256.47471614422972</v>
      </c>
      <c r="G63" s="1">
        <f t="shared" si="1"/>
        <v>679.94943228845943</v>
      </c>
      <c r="H63" s="14">
        <f t="shared" si="2"/>
        <v>242.50160828593118</v>
      </c>
      <c r="I63" s="14" t="str">
        <f t="shared" si="3"/>
        <v>cits</v>
      </c>
    </row>
    <row r="64" spans="1:9" ht="15" customHeight="1" x14ac:dyDescent="0.2">
      <c r="A64" s="1">
        <v>127</v>
      </c>
      <c r="B64" s="14">
        <f t="shared" si="4"/>
        <v>26.5</v>
      </c>
      <c r="C64" s="14">
        <f t="shared" si="0"/>
        <v>287.68669043336007</v>
      </c>
      <c r="D64" s="1">
        <v>178</v>
      </c>
      <c r="E64" s="1">
        <v>99.448634244729178</v>
      </c>
      <c r="F64" s="1">
        <v>99.448634244729178</v>
      </c>
      <c r="G64" s="1">
        <f t="shared" si="1"/>
        <v>376.89726848945838</v>
      </c>
      <c r="H64" s="14">
        <f t="shared" si="2"/>
        <v>44.373763116755391</v>
      </c>
      <c r="I64" s="14" t="str">
        <f t="shared" si="3"/>
        <v>platlenķa</v>
      </c>
    </row>
    <row r="65" spans="1:9" ht="15" customHeight="1" x14ac:dyDescent="0.2">
      <c r="A65" s="1">
        <v>130</v>
      </c>
      <c r="B65" s="14">
        <f t="shared" si="4"/>
        <v>25</v>
      </c>
      <c r="C65" s="14">
        <f t="shared" si="0"/>
        <v>281.41389279153549</v>
      </c>
      <c r="D65" s="1">
        <v>183</v>
      </c>
      <c r="E65" s="1">
        <v>100.959079585068</v>
      </c>
      <c r="F65" s="1">
        <v>100.959079585068</v>
      </c>
      <c r="G65" s="1">
        <f t="shared" si="1"/>
        <v>384.91815917013605</v>
      </c>
      <c r="H65" s="14">
        <f t="shared" si="2"/>
        <v>42.667150721182367</v>
      </c>
      <c r="I65" s="14" t="str">
        <f t="shared" si="3"/>
        <v>platlenķa</v>
      </c>
    </row>
    <row r="66" spans="1:9" ht="15" customHeight="1" x14ac:dyDescent="0.2">
      <c r="A66" s="1">
        <v>50</v>
      </c>
      <c r="B66" s="14">
        <f t="shared" si="4"/>
        <v>65</v>
      </c>
      <c r="C66" s="14">
        <f t="shared" si="0"/>
        <v>1056.7562095367341</v>
      </c>
      <c r="D66" s="1">
        <v>187</v>
      </c>
      <c r="E66" s="1">
        <v>221.2398480247586</v>
      </c>
      <c r="F66" s="1">
        <v>221.2398480247586</v>
      </c>
      <c r="G66" s="1">
        <f t="shared" si="1"/>
        <v>629.4796960495172</v>
      </c>
      <c r="H66" s="14">
        <f t="shared" si="2"/>
        <v>200.51139706764371</v>
      </c>
      <c r="I66" s="14" t="str">
        <f t="shared" si="3"/>
        <v>cits</v>
      </c>
    </row>
    <row r="67" spans="1:9" ht="15" customHeight="1" x14ac:dyDescent="0.2">
      <c r="A67" s="1">
        <v>12</v>
      </c>
      <c r="B67" s="14">
        <f t="shared" si="4"/>
        <v>84</v>
      </c>
      <c r="C67" s="14">
        <f t="shared" si="0"/>
        <v>2667.4752011582109</v>
      </c>
      <c r="D67" s="1">
        <v>188</v>
      </c>
      <c r="E67" s="1">
        <v>899.2765899495289</v>
      </c>
      <c r="F67" s="1">
        <v>899.2765899495289</v>
      </c>
      <c r="G67" s="1">
        <f t="shared" si="1"/>
        <v>1986.5531798990578</v>
      </c>
      <c r="H67" s="14">
        <f t="shared" si="2"/>
        <v>894.35025869692299</v>
      </c>
      <c r="I67" s="14" t="str">
        <f t="shared" si="3"/>
        <v>cits</v>
      </c>
    </row>
    <row r="68" spans="1:9" ht="15" customHeight="1" x14ac:dyDescent="0.2">
      <c r="A68" s="1">
        <v>29</v>
      </c>
      <c r="B68" s="14">
        <f t="shared" si="4"/>
        <v>75.5</v>
      </c>
      <c r="C68" s="14">
        <f t="shared" ref="C68:C70" si="5">SQRT((G68/2-D68)*(G68/2-E68)*(G68/2-F68))</f>
        <v>1614.8263138114762</v>
      </c>
      <c r="D68" s="1">
        <v>191</v>
      </c>
      <c r="E68" s="1">
        <v>381.42023505692941</v>
      </c>
      <c r="F68" s="1">
        <v>381.42023505692941</v>
      </c>
      <c r="G68" s="1">
        <f t="shared" ref="G68:G70" si="6">SUM(D68,F68,E68)</f>
        <v>953.84047011385883</v>
      </c>
      <c r="H68" s="14">
        <f t="shared" ref="H68:H70" si="7">SQRT((E68*F68-(D68/2)*(D68/2)))</f>
        <v>369.27110056282942</v>
      </c>
      <c r="I68" s="14" t="str">
        <f t="shared" ref="I68:I70" si="8">IF(A68&gt;90,"platlenķa","cits")</f>
        <v>cits</v>
      </c>
    </row>
    <row r="69" spans="1:9" ht="15" customHeight="1" x14ac:dyDescent="0.2">
      <c r="A69" s="1">
        <v>125</v>
      </c>
      <c r="B69" s="14">
        <f t="shared" ref="B69:B70" si="9">(180-A69)/2</f>
        <v>27.5</v>
      </c>
      <c r="C69" s="14">
        <f t="shared" si="5"/>
        <v>392.26390982216088</v>
      </c>
      <c r="D69" s="1">
        <v>213</v>
      </c>
      <c r="E69" s="1">
        <v>120.06617734126546</v>
      </c>
      <c r="F69" s="1">
        <v>120.06617734126546</v>
      </c>
      <c r="G69" s="1">
        <f t="shared" si="6"/>
        <v>453.13235468253094</v>
      </c>
      <c r="H69" s="14">
        <f t="shared" si="7"/>
        <v>55.440390883760969</v>
      </c>
      <c r="I69" s="14" t="str">
        <f t="shared" si="8"/>
        <v>platlenķa</v>
      </c>
    </row>
    <row r="70" spans="1:9" ht="15" customHeight="1" x14ac:dyDescent="0.2">
      <c r="A70" s="1">
        <v>42</v>
      </c>
      <c r="B70" s="14">
        <f t="shared" si="9"/>
        <v>69</v>
      </c>
      <c r="C70" s="14">
        <f t="shared" si="5"/>
        <v>1501.8068367244684</v>
      </c>
      <c r="D70" s="1">
        <v>216</v>
      </c>
      <c r="E70" s="1">
        <v>301.36623583953627</v>
      </c>
      <c r="F70" s="1">
        <v>301.36623583953627</v>
      </c>
      <c r="G70" s="1">
        <f t="shared" si="6"/>
        <v>818.73247167907266</v>
      </c>
      <c r="H70" s="14">
        <f t="shared" si="7"/>
        <v>281.34961898693058</v>
      </c>
      <c r="I70" s="14" t="str">
        <f t="shared" si="8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sheetPr codeName="Sheet6"/>
  <dimension ref="A1:P9"/>
  <sheetViews>
    <sheetView workbookViewId="0">
      <selection activeCell="B4" sqref="B4:G9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2" t="s">
        <v>14</v>
      </c>
      <c r="C2" s="62"/>
      <c r="D2" s="62"/>
      <c r="E2" s="62"/>
      <c r="F2" s="62"/>
      <c r="G2" s="62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59" t="s">
        <v>59</v>
      </c>
      <c r="L3" s="59"/>
      <c r="M3" s="59"/>
      <c r="N3" s="59"/>
      <c r="O3" s="59"/>
      <c r="P3" s="16" t="s">
        <v>3891</v>
      </c>
    </row>
    <row r="4" spans="1:16" x14ac:dyDescent="0.2">
      <c r="A4" s="17">
        <v>20</v>
      </c>
      <c r="B4" s="18"/>
      <c r="C4" s="18"/>
      <c r="D4" s="18"/>
      <c r="E4" s="18"/>
      <c r="F4" s="18"/>
      <c r="G4" s="18"/>
      <c r="K4" s="59"/>
      <c r="L4" s="59"/>
      <c r="M4" s="59"/>
      <c r="N4" s="59"/>
      <c r="O4" s="59"/>
    </row>
    <row r="5" spans="1:16" x14ac:dyDescent="0.2">
      <c r="A5" s="17">
        <v>30</v>
      </c>
      <c r="B5" s="18"/>
      <c r="C5" s="18"/>
      <c r="D5" s="18"/>
      <c r="E5" s="18"/>
      <c r="F5" s="18"/>
      <c r="G5" s="18"/>
      <c r="K5" s="59"/>
      <c r="L5" s="59"/>
      <c r="M5" s="59"/>
      <c r="N5" s="59"/>
      <c r="O5" s="59"/>
    </row>
    <row r="6" spans="1:16" x14ac:dyDescent="0.2">
      <c r="A6" s="17">
        <v>40</v>
      </c>
      <c r="B6" s="18"/>
      <c r="C6" s="18"/>
      <c r="D6" s="18"/>
      <c r="E6" s="18"/>
      <c r="F6" s="18"/>
      <c r="G6" s="18"/>
      <c r="K6" s="59"/>
      <c r="L6" s="59"/>
      <c r="M6" s="59"/>
      <c r="N6" s="59"/>
      <c r="O6" s="59"/>
    </row>
    <row r="7" spans="1:16" x14ac:dyDescent="0.2">
      <c r="A7" s="17">
        <v>50</v>
      </c>
      <c r="B7" s="18"/>
      <c r="C7" s="18"/>
      <c r="D7" s="18"/>
      <c r="E7" s="18"/>
      <c r="F7" s="18"/>
      <c r="G7" s="18"/>
      <c r="K7" s="59"/>
      <c r="L7" s="59"/>
      <c r="M7" s="59"/>
      <c r="N7" s="59"/>
      <c r="O7" s="59"/>
    </row>
    <row r="8" spans="1:16" x14ac:dyDescent="0.2">
      <c r="A8" s="17">
        <v>60</v>
      </c>
      <c r="B8" s="18"/>
      <c r="C8" s="18"/>
      <c r="D8" s="18"/>
      <c r="E8" s="18"/>
      <c r="F8" s="18"/>
      <c r="G8" s="18"/>
    </row>
    <row r="9" spans="1:16" x14ac:dyDescent="0.2">
      <c r="A9" s="17">
        <v>70</v>
      </c>
      <c r="B9" s="18"/>
      <c r="C9" s="18"/>
      <c r="D9" s="18"/>
      <c r="E9" s="18"/>
      <c r="F9" s="18"/>
      <c r="G9" s="18"/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T71"/>
  <sheetViews>
    <sheetView zoomScaleNormal="100" workbookViewId="0">
      <selection activeCell="N6" sqref="N6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3.42578125" style="1" customWidth="1"/>
    <col min="15" max="15" width="12.28515625" style="42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3" t="s">
        <v>25</v>
      </c>
      <c r="B2" s="63"/>
      <c r="C2" s="63"/>
      <c r="D2" s="63"/>
      <c r="E2" s="63"/>
      <c r="F2" s="63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IF(AND(G4&lt;90,H4&lt;90,I4&lt;90),"ir šaurlenķa","nav šaurlenķa")</f>
        <v>nav šaurlenķa</v>
      </c>
      <c r="O4" s="42">
        <v>20</v>
      </c>
      <c r="P4" s="61" t="s">
        <v>56</v>
      </c>
      <c r="Q4" s="61"/>
      <c r="R4" s="61"/>
      <c r="S4" s="61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IF(AND(G5&lt;90,H5&lt;90,I5&lt;90),"ir šaurlenķa","nav šaurlenķa")</f>
        <v>nav šaurlenķa</v>
      </c>
      <c r="P5" s="61"/>
      <c r="Q5" s="61"/>
      <c r="R5" s="61"/>
      <c r="S5" s="61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nav šaurlenķa</v>
      </c>
      <c r="P6" s="61"/>
      <c r="Q6" s="61"/>
      <c r="R6" s="61"/>
      <c r="S6" s="61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nav šaurlenķa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nav šaurlenķa</v>
      </c>
      <c r="O8" s="42">
        <v>21</v>
      </c>
      <c r="P8" s="64" t="s">
        <v>3890</v>
      </c>
      <c r="Q8" s="64"/>
      <c r="R8" s="64"/>
      <c r="S8" s="64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ir šaurlenķa</v>
      </c>
      <c r="P9" s="64"/>
      <c r="Q9" s="64"/>
      <c r="R9" s="64"/>
      <c r="S9" s="64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nav šaurlenķa</v>
      </c>
      <c r="P10" s="64"/>
      <c r="Q10" s="64"/>
      <c r="R10" s="64"/>
      <c r="S10" s="64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šaurlenķa</v>
      </c>
      <c r="P11" s="64"/>
      <c r="Q11" s="64"/>
      <c r="R11" s="64"/>
      <c r="S11" s="64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nav šaurlenķa</v>
      </c>
      <c r="P12" s="64"/>
      <c r="Q12" s="64"/>
      <c r="R12" s="64"/>
      <c r="S12" s="64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nav šaurlenķa</v>
      </c>
      <c r="P13" s="64"/>
      <c r="Q13" s="64"/>
      <c r="R13" s="64"/>
      <c r="S13" s="64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šaurlenķa</v>
      </c>
      <c r="P14" s="64"/>
      <c r="Q14" s="64"/>
      <c r="R14" s="64"/>
      <c r="S14" s="64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nav šaurlenķa</v>
      </c>
      <c r="P15" s="64"/>
      <c r="Q15" s="64"/>
      <c r="R15" s="64"/>
      <c r="S15" s="64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nav šaurlenķa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šaurlenķa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šaurlenķa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nav šaurlenķa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nav šaurlenķa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nav šaurlenķa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nav šaurlenķa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ir šaurlenķa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nav šaurlenķa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ir šaurlenķa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nav šaurlenķa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šaurlenķa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ir šaurlenķa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šaurlenķa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šaurlenķa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šaurlenķa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nav šaurlenķa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ir šaurlenķa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šaurlenķa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šaurlenķa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šaurlenķa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nav šaurlenķa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šaurlenķa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nav šaurlenķa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nav šaurlenķa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šaurlenķa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ir šaurlenķa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ir šaurlenķa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nav šaurlenķa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šaurlenķa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ir šaurlenķa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nav šaurlenķa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šaurlenķa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nav šaurlenķa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šaurlenķa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/>
      <c r="N51" s="1" t="str">
        <f t="shared" si="0"/>
        <v>ir šaurlenķa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nav šaurlenķa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nav šaurlenķa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ir šaurlenķa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ir šaurlenķa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šaurlenķa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nav šaurlenķa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ir šaurlenķa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nav šaurlenķa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nav šaurlenķa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nav šaurlenķa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nav šaurlenķa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ir šaurlenķa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nav šaurlenķa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ir šaurlenķa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ir šaurlenķa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nav šaurlenķa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ir šaurlenķa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IF(AND(G69&lt;90,H69&lt;90,I69&lt;90),"ir šaurlenķa","nav šaurlenķa")</f>
        <v>ir šaurlenķa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ir šaurlenķa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ir šaurlenķa</v>
      </c>
    </row>
  </sheetData>
  <autoFilter ref="A4:L71" xr:uid="{00000000-0001-0000-0800-000000000000}"/>
  <sortState xmlns:xlrd2="http://schemas.microsoft.com/office/spreadsheetml/2017/richdata2" ref="A4:M72">
    <sortCondition ref="J4:J72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N2" sqref="N2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3" t="s">
        <v>25</v>
      </c>
      <c r="B2" s="63"/>
      <c r="C2" s="63"/>
      <c r="D2" s="63"/>
      <c r="E2" s="63"/>
      <c r="F2" s="63"/>
      <c r="G2" s="2"/>
      <c r="H2" s="2"/>
      <c r="I2" s="2"/>
      <c r="J2" s="2"/>
      <c r="N2" s="74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74">
        <v>75.63225833085292</v>
      </c>
      <c r="H4" s="74">
        <v>52.216172453709319</v>
      </c>
      <c r="I4" s="74">
        <v>52.151569215437704</v>
      </c>
      <c r="J4" s="74">
        <v>14943.999999999995</v>
      </c>
      <c r="K4" s="74">
        <v>152.30561381643159</v>
      </c>
      <c r="L4" s="74">
        <v>124.1491039033307</v>
      </c>
      <c r="M4" s="74">
        <v>124.25779653607253</v>
      </c>
      <c r="N4" s="74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74">
        <v>91.450098927324149</v>
      </c>
      <c r="H5" s="74">
        <v>43.425931385646315</v>
      </c>
      <c r="I5" s="74">
        <v>45.123969687029415</v>
      </c>
      <c r="J5" s="74">
        <v>18526.999999999989</v>
      </c>
      <c r="K5" s="74">
        <v>194.98974332000131</v>
      </c>
      <c r="L5" s="74">
        <v>138.2208377922808</v>
      </c>
      <c r="M5" s="74">
        <v>134.08206442324789</v>
      </c>
      <c r="N5" s="74">
        <v>467.29264553553003</v>
      </c>
      <c r="P5" s="42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74">
        <v>63.086615042098479</v>
      </c>
      <c r="H6" s="74">
        <v>43.43723958735621</v>
      </c>
      <c r="I6" s="74">
        <v>73.476145370545396</v>
      </c>
      <c r="J6" s="74">
        <v>13709.000000000005</v>
      </c>
      <c r="K6" s="74">
        <v>136.18002790424151</v>
      </c>
      <c r="L6" s="74">
        <v>146.4137971640651</v>
      </c>
      <c r="M6" s="74">
        <v>105.00476179678711</v>
      </c>
      <c r="N6" s="74">
        <v>387.59858686509369</v>
      </c>
      <c r="P6" s="42">
        <v>18</v>
      </c>
      <c r="Q6" s="61" t="s">
        <v>54</v>
      </c>
      <c r="R6" s="61"/>
      <c r="S6" s="61"/>
      <c r="T6" s="61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74">
        <v>27.0585082130677</v>
      </c>
      <c r="H7" s="74">
        <v>84.055839131018146</v>
      </c>
      <c r="I7" s="74">
        <v>68.8856526559142</v>
      </c>
      <c r="J7" s="74">
        <v>3496</v>
      </c>
      <c r="K7" s="74">
        <v>41.400483088968905</v>
      </c>
      <c r="L7" s="74">
        <v>84.899941107164494</v>
      </c>
      <c r="M7" s="74">
        <v>90.520715861066847</v>
      </c>
      <c r="N7" s="74">
        <v>216.82114005720024</v>
      </c>
      <c r="P7" s="42"/>
      <c r="Q7" s="61"/>
      <c r="R7" s="61"/>
      <c r="S7" s="61"/>
      <c r="T7" s="61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74">
        <v>23.543366594656415</v>
      </c>
      <c r="H8" s="74">
        <v>34.861933316812738</v>
      </c>
      <c r="I8" s="74">
        <v>121.5947000885308</v>
      </c>
      <c r="J8" s="74">
        <v>11487.999999999984</v>
      </c>
      <c r="K8" s="74">
        <v>97.082439194738001</v>
      </c>
      <c r="L8" s="74">
        <v>207.01932276963907</v>
      </c>
      <c r="M8" s="74">
        <v>138.92443989449805</v>
      </c>
      <c r="N8" s="74">
        <v>443.02620185887514</v>
      </c>
      <c r="P8" s="42"/>
      <c r="Q8" s="61"/>
      <c r="R8" s="61"/>
      <c r="S8" s="61"/>
      <c r="T8" s="61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74">
        <v>130.83916110256348</v>
      </c>
      <c r="H9" s="74">
        <v>34.873575000471696</v>
      </c>
      <c r="I9" s="74">
        <v>14.287263896964657</v>
      </c>
      <c r="J9" s="74">
        <v>1857.9999999999986</v>
      </c>
      <c r="K9" s="74">
        <v>99.809819156233317</v>
      </c>
      <c r="L9" s="74">
        <v>32.557641192199412</v>
      </c>
      <c r="M9" s="74">
        <v>75.432088662584434</v>
      </c>
      <c r="N9" s="74">
        <v>207.79954901101718</v>
      </c>
      <c r="P9" s="42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74">
        <v>52.418157794066431</v>
      </c>
      <c r="H10" s="74">
        <v>37.449936488316631</v>
      </c>
      <c r="I10" s="74">
        <v>90.131905717616903</v>
      </c>
      <c r="J10" s="74">
        <v>16506.000000000007</v>
      </c>
      <c r="K10" s="74">
        <v>146.66969693839283</v>
      </c>
      <c r="L10" s="74">
        <v>185.07566020414461</v>
      </c>
      <c r="M10" s="74">
        <v>112.53888216967503</v>
      </c>
      <c r="N10" s="74">
        <v>444.28423931221249</v>
      </c>
      <c r="P10" s="42">
        <v>19</v>
      </c>
      <c r="Q10" s="61" t="s">
        <v>55</v>
      </c>
      <c r="R10" s="61"/>
      <c r="S10" s="61"/>
      <c r="T10" s="61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74">
        <v>54.07593731588512</v>
      </c>
      <c r="H11" s="74">
        <v>97.184267392426889</v>
      </c>
      <c r="I11" s="74">
        <v>28.739795291688058</v>
      </c>
      <c r="J11" s="74">
        <v>12018.999999999998</v>
      </c>
      <c r="K11" s="74">
        <v>142.83556979968259</v>
      </c>
      <c r="L11" s="74">
        <v>84.811555816409836</v>
      </c>
      <c r="M11" s="74">
        <v>175</v>
      </c>
      <c r="N11" s="74">
        <v>402.64712561609241</v>
      </c>
      <c r="Q11" s="61"/>
      <c r="R11" s="61"/>
      <c r="S11" s="61"/>
      <c r="T11" s="61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74">
        <v>63.807999609549135</v>
      </c>
      <c r="H12" s="74">
        <v>84.478065430793094</v>
      </c>
      <c r="I12" s="74">
        <v>31.71393495965787</v>
      </c>
      <c r="J12" s="74">
        <v>16333</v>
      </c>
      <c r="K12" s="74">
        <v>167.36188335460378</v>
      </c>
      <c r="L12" s="74">
        <v>98.045907614749524</v>
      </c>
      <c r="M12" s="74">
        <v>185.64751546950473</v>
      </c>
      <c r="N12" s="74">
        <v>451.055306438858</v>
      </c>
      <c r="Q12" s="61"/>
      <c r="R12" s="61"/>
      <c r="S12" s="61"/>
      <c r="T12" s="61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74">
        <v>178.14761269720339</v>
      </c>
      <c r="H13" s="74">
        <v>1.2775709972209182</v>
      </c>
      <c r="I13" s="74">
        <v>0.57481630556929753</v>
      </c>
      <c r="J13" s="74">
        <v>149.99999999977916</v>
      </c>
      <c r="K13" s="74">
        <v>147.23111084278349</v>
      </c>
      <c r="L13" s="74">
        <v>45.694638635183452</v>
      </c>
      <c r="M13" s="74">
        <v>101.55294185792945</v>
      </c>
      <c r="N13" s="74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74">
        <v>80.614542737266675</v>
      </c>
      <c r="H14" s="74">
        <v>54.623307379650178</v>
      </c>
      <c r="I14" s="74">
        <v>44.762149883083083</v>
      </c>
      <c r="J14" s="74">
        <v>15112.999999999996</v>
      </c>
      <c r="K14" s="74">
        <v>161.15210206509875</v>
      </c>
      <c r="L14" s="74">
        <v>115.0173899895142</v>
      </c>
      <c r="M14" s="74">
        <v>133.18032887780387</v>
      </c>
      <c r="N14" s="74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74">
        <v>51.441999439848495</v>
      </c>
      <c r="H15" s="74">
        <v>69.673927973325561</v>
      </c>
      <c r="I15" s="74">
        <v>58.884072586825873</v>
      </c>
      <c r="J15" s="74">
        <v>5085.9999999999991</v>
      </c>
      <c r="K15" s="74">
        <v>70.384657419071104</v>
      </c>
      <c r="L15" s="74">
        <v>77.058419397233934</v>
      </c>
      <c r="M15" s="74">
        <v>84.403791384036765</v>
      </c>
      <c r="N15" s="74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74">
        <v>71.182480931978702</v>
      </c>
      <c r="H16" s="74">
        <v>19.153856733935445</v>
      </c>
      <c r="I16" s="74">
        <v>89.663662334085799</v>
      </c>
      <c r="J16" s="74">
        <v>3406.9999999999914</v>
      </c>
      <c r="K16" s="74">
        <v>99.141313285632847</v>
      </c>
      <c r="L16" s="74">
        <v>104.7377677822093</v>
      </c>
      <c r="M16" s="74">
        <v>34.365680554879162</v>
      </c>
      <c r="N16" s="74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74">
        <v>145.50972490545837</v>
      </c>
      <c r="H17" s="74">
        <v>15.025457165319999</v>
      </c>
      <c r="I17" s="74">
        <v>19.464817929222001</v>
      </c>
      <c r="J17" s="74">
        <v>3846.0000000000418</v>
      </c>
      <c r="K17" s="74">
        <v>158.7765725792064</v>
      </c>
      <c r="L17" s="74">
        <v>93.434469014384618</v>
      </c>
      <c r="M17" s="74">
        <v>72.691127381544987</v>
      </c>
      <c r="N17" s="74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74">
        <v>43.815522268731321</v>
      </c>
      <c r="H18" s="74">
        <v>72.658871105027345</v>
      </c>
      <c r="I18" s="74">
        <v>63.525606626241341</v>
      </c>
      <c r="J18" s="74">
        <v>10372.999999999998</v>
      </c>
      <c r="K18" s="74">
        <v>91.678787077491378</v>
      </c>
      <c r="L18" s="74">
        <v>118.53269591129698</v>
      </c>
      <c r="M18" s="74">
        <v>126.40015822774906</v>
      </c>
      <c r="N18" s="74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74">
        <v>22.290919139948436</v>
      </c>
      <c r="H19" s="74">
        <v>142.89719396423553</v>
      </c>
      <c r="I19" s="74">
        <v>14.81188689581653</v>
      </c>
      <c r="J19" s="74">
        <v>3709.9999999999955</v>
      </c>
      <c r="K19" s="74">
        <v>95.524865872714003</v>
      </c>
      <c r="L19" s="74">
        <v>64.381674411279491</v>
      </c>
      <c r="M19" s="74">
        <v>151.92103211866353</v>
      </c>
      <c r="N19" s="74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74">
        <v>61.987858592645289</v>
      </c>
      <c r="H20" s="74">
        <v>75.612768399279631</v>
      </c>
      <c r="I20" s="74">
        <v>42.399373008075095</v>
      </c>
      <c r="J20" s="74">
        <v>4487</v>
      </c>
      <c r="K20" s="74">
        <v>77.878109889750149</v>
      </c>
      <c r="L20" s="74">
        <v>59.481089431852205</v>
      </c>
      <c r="M20" s="74">
        <v>85.445889310135925</v>
      </c>
      <c r="N20" s="74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74">
        <v>9.5415387125488937</v>
      </c>
      <c r="H21" s="74">
        <v>15.008913676658743</v>
      </c>
      <c r="I21" s="74">
        <v>155.44954761079268</v>
      </c>
      <c r="J21" s="74">
        <v>2109.0000000000082</v>
      </c>
      <c r="K21" s="74">
        <v>57</v>
      </c>
      <c r="L21" s="74">
        <v>142.87407042567241</v>
      </c>
      <c r="M21" s="74">
        <v>89.050547443572739</v>
      </c>
      <c r="N21" s="74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74">
        <v>23.776592785988477</v>
      </c>
      <c r="H22" s="74">
        <v>115.15690317286972</v>
      </c>
      <c r="I22" s="74">
        <v>41.066504041141755</v>
      </c>
      <c r="J22" s="74">
        <v>8302.0000000000018</v>
      </c>
      <c r="K22" s="74">
        <v>75.026661927610775</v>
      </c>
      <c r="L22" s="74">
        <v>122.24974437601087</v>
      </c>
      <c r="M22" s="74">
        <v>168.43990026119107</v>
      </c>
      <c r="N22" s="74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74">
        <v>38.482822923302493</v>
      </c>
      <c r="H23" s="74">
        <v>118.53761429541746</v>
      </c>
      <c r="I23" s="74">
        <v>22.979562781280098</v>
      </c>
      <c r="J23" s="74">
        <v>4908</v>
      </c>
      <c r="K23" s="74">
        <v>94.36630754670864</v>
      </c>
      <c r="L23" s="74">
        <v>59.203040462462738</v>
      </c>
      <c r="M23" s="74">
        <v>133.22161986704711</v>
      </c>
      <c r="N23" s="74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74">
        <v>63.257012191511606</v>
      </c>
      <c r="H24" s="74">
        <v>77.54669319198446</v>
      </c>
      <c r="I24" s="74">
        <v>39.19629461650387</v>
      </c>
      <c r="J24" s="74">
        <v>6429.9999999999991</v>
      </c>
      <c r="K24" s="74">
        <v>96.462427918853464</v>
      </c>
      <c r="L24" s="74">
        <v>68.264192663504048</v>
      </c>
      <c r="M24" s="74">
        <v>105.47511554864494</v>
      </c>
      <c r="N24" s="74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74">
        <v>43.023902103128215</v>
      </c>
      <c r="H25" s="74">
        <v>14.772938141053261</v>
      </c>
      <c r="I25" s="74">
        <v>122.20315975581845</v>
      </c>
      <c r="J25" s="74">
        <v>4910.9999999999754</v>
      </c>
      <c r="K25" s="74">
        <v>124.61942063739504</v>
      </c>
      <c r="L25" s="74">
        <v>154.54772725601629</v>
      </c>
      <c r="M25" s="74">
        <v>46.572524088780071</v>
      </c>
      <c r="N25" s="74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74">
        <v>130.66768601681142</v>
      </c>
      <c r="H26" s="74">
        <v>41.947117485207571</v>
      </c>
      <c r="I26" s="74">
        <v>7.3851964979808304</v>
      </c>
      <c r="J26" s="74">
        <v>2555.9999999999995</v>
      </c>
      <c r="K26" s="74">
        <v>150.21318184500319</v>
      </c>
      <c r="L26" s="74">
        <v>25.45584412271571</v>
      </c>
      <c r="M26" s="74">
        <v>132.3782459469833</v>
      </c>
      <c r="N26" s="74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74">
        <v>55.042940723831862</v>
      </c>
      <c r="H27" s="74">
        <v>23.040218366450549</v>
      </c>
      <c r="I27" s="74">
        <v>101.91684090971758</v>
      </c>
      <c r="J27" s="74">
        <v>14855.000000000022</v>
      </c>
      <c r="K27" s="74">
        <v>178.30591689565435</v>
      </c>
      <c r="L27" s="74">
        <v>212.86850401127921</v>
      </c>
      <c r="M27" s="74">
        <v>85.14693182963201</v>
      </c>
      <c r="N27" s="74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74">
        <v>105.45455621512447</v>
      </c>
      <c r="H28" s="74">
        <v>34.601343514979156</v>
      </c>
      <c r="I28" s="74">
        <v>39.944100269896211</v>
      </c>
      <c r="J28" s="74">
        <v>8159.9999999999836</v>
      </c>
      <c r="K28" s="74">
        <v>146.87409574189726</v>
      </c>
      <c r="L28" s="74">
        <v>97.836598469080073</v>
      </c>
      <c r="M28" s="74">
        <v>86.53323061113575</v>
      </c>
      <c r="N28" s="74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74">
        <v>6.2805610355424903</v>
      </c>
      <c r="H29" s="74">
        <v>152.51605764849953</v>
      </c>
      <c r="I29" s="74">
        <v>21.203381315957945</v>
      </c>
      <c r="J29" s="74">
        <v>1184.000000000002</v>
      </c>
      <c r="K29" s="74">
        <v>27.856776554368238</v>
      </c>
      <c r="L29" s="74">
        <v>92.097774131626011</v>
      </c>
      <c r="M29" s="74">
        <v>117.51595636338071</v>
      </c>
      <c r="N29" s="74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74">
        <v>149.63310187053602</v>
      </c>
      <c r="H30" s="74">
        <v>22.208511235429423</v>
      </c>
      <c r="I30" s="74">
        <v>8.1583868940346917</v>
      </c>
      <c r="J30" s="74">
        <v>2114.0000000000059</v>
      </c>
      <c r="K30" s="74">
        <v>141.15239990875111</v>
      </c>
      <c r="L30" s="74">
        <v>39.623225512317902</v>
      </c>
      <c r="M30" s="74">
        <v>105.53672346628922</v>
      </c>
      <c r="N30" s="74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74">
        <v>60.671745676477592</v>
      </c>
      <c r="H31" s="74">
        <v>25.905869817716045</v>
      </c>
      <c r="I31" s="74">
        <v>93.422384505806249</v>
      </c>
      <c r="J31" s="74">
        <v>14112.999999999964</v>
      </c>
      <c r="K31" s="74">
        <v>167.96725871431016</v>
      </c>
      <c r="L31" s="74">
        <v>192.31744590650115</v>
      </c>
      <c r="M31" s="74">
        <v>84.172442046075858</v>
      </c>
      <c r="N31" s="74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74">
        <v>74.530425232267149</v>
      </c>
      <c r="H32" s="74">
        <v>5.2205539839765773</v>
      </c>
      <c r="I32" s="74">
        <v>100.2490207837559</v>
      </c>
      <c r="J32" s="74">
        <v>1354.9999999999243</v>
      </c>
      <c r="K32" s="74">
        <v>120.76837334335509</v>
      </c>
      <c r="L32" s="74">
        <v>123.30855606972291</v>
      </c>
      <c r="M32" s="74">
        <v>11.401754250991379</v>
      </c>
      <c r="N32" s="74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74">
        <v>43.170086360492895</v>
      </c>
      <c r="H33" s="74">
        <v>38.938211211271316</v>
      </c>
      <c r="I33" s="74">
        <v>97.891702428235689</v>
      </c>
      <c r="J33" s="74">
        <v>3938.9999999999959</v>
      </c>
      <c r="K33" s="74">
        <v>65.79513659838392</v>
      </c>
      <c r="L33" s="74">
        <v>95.257545632878873</v>
      </c>
      <c r="M33" s="74">
        <v>60.440052945046304</v>
      </c>
      <c r="N33" s="74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74">
        <v>105.58440116690444</v>
      </c>
      <c r="H34" s="74">
        <v>16.175078917908351</v>
      </c>
      <c r="I34" s="74">
        <v>58.240519915187235</v>
      </c>
      <c r="J34" s="74">
        <v>735</v>
      </c>
      <c r="K34" s="74">
        <v>54.671747731346578</v>
      </c>
      <c r="L34" s="74">
        <v>48.259714048054619</v>
      </c>
      <c r="M34" s="74">
        <v>15.811388300841896</v>
      </c>
      <c r="N34" s="74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74">
        <v>41.421988593552385</v>
      </c>
      <c r="H35" s="74">
        <v>52.136456504046564</v>
      </c>
      <c r="I35" s="74">
        <v>86.441554902400895</v>
      </c>
      <c r="J35" s="74">
        <v>15951.999999999984</v>
      </c>
      <c r="K35" s="74">
        <v>115.73245007343446</v>
      </c>
      <c r="L35" s="74">
        <v>174.59095051004218</v>
      </c>
      <c r="M35" s="74">
        <v>138.10141201305655</v>
      </c>
      <c r="N35" s="74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74">
        <v>81.025955199067425</v>
      </c>
      <c r="H36" s="74">
        <v>50.28997732329271</v>
      </c>
      <c r="I36" s="74">
        <v>48.68406747763985</v>
      </c>
      <c r="J36" s="74">
        <v>16596.999999999996</v>
      </c>
      <c r="K36" s="74">
        <v>168.44286865284622</v>
      </c>
      <c r="L36" s="74">
        <v>128.08200498118384</v>
      </c>
      <c r="M36" s="74">
        <v>131.18688958886096</v>
      </c>
      <c r="N36" s="74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74">
        <v>24.024006362844364</v>
      </c>
      <c r="H37" s="74">
        <v>23.11707510695793</v>
      </c>
      <c r="I37" s="74">
        <v>132.85891853019774</v>
      </c>
      <c r="J37" s="74">
        <v>3080.0000000000023</v>
      </c>
      <c r="K37" s="74">
        <v>66.007575322836999</v>
      </c>
      <c r="L37" s="74">
        <v>118.84864324004712</v>
      </c>
      <c r="M37" s="74">
        <v>63.655321851358195</v>
      </c>
      <c r="N37" s="74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74">
        <v>154.45178531198459</v>
      </c>
      <c r="H38" s="74">
        <v>11.119915313473882</v>
      </c>
      <c r="I38" s="74">
        <v>14.428299374541314</v>
      </c>
      <c r="J38" s="74">
        <v>4618.9999999999727</v>
      </c>
      <c r="K38" s="74">
        <v>203.60009823180343</v>
      </c>
      <c r="L38" s="74">
        <v>117.63077828527702</v>
      </c>
      <c r="M38" s="74">
        <v>91.049437120720299</v>
      </c>
      <c r="N38" s="74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74">
        <v>22.971813832400485</v>
      </c>
      <c r="H39" s="74">
        <v>17.487499787306099</v>
      </c>
      <c r="I39" s="74">
        <v>139.54068638029335</v>
      </c>
      <c r="J39" s="74">
        <v>5425.0000000000045</v>
      </c>
      <c r="K39" s="74">
        <v>104.20172743289815</v>
      </c>
      <c r="L39" s="74">
        <v>173.25414857947845</v>
      </c>
      <c r="M39" s="74">
        <v>80.230916734136841</v>
      </c>
      <c r="N39" s="74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74">
        <v>45.451451529508851</v>
      </c>
      <c r="H40" s="74">
        <v>73.609849578230609</v>
      </c>
      <c r="I40" s="74">
        <v>60.938698892260618</v>
      </c>
      <c r="J40" s="74">
        <v>10169</v>
      </c>
      <c r="K40" s="74">
        <v>92.962357973536797</v>
      </c>
      <c r="L40" s="74">
        <v>114.02192771568107</v>
      </c>
      <c r="M40" s="74">
        <v>125.14391715141412</v>
      </c>
      <c r="N40" s="74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74">
        <v>54.621801760071435</v>
      </c>
      <c r="H41" s="74">
        <v>42.389639943385731</v>
      </c>
      <c r="I41" s="74">
        <v>82.988558296542735</v>
      </c>
      <c r="J41" s="74">
        <v>13041.999999999989</v>
      </c>
      <c r="K41" s="74">
        <v>126.0634760745554</v>
      </c>
      <c r="L41" s="74">
        <v>153.45683432157722</v>
      </c>
      <c r="M41" s="74">
        <v>104.23531071570709</v>
      </c>
      <c r="N41" s="74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74">
        <v>94.59488568615626</v>
      </c>
      <c r="H42" s="74">
        <v>43.433492313112744</v>
      </c>
      <c r="I42" s="74">
        <v>41.971622000730875</v>
      </c>
      <c r="J42" s="74">
        <v>8037.9999999999945</v>
      </c>
      <c r="K42" s="74">
        <v>132.0075755401939</v>
      </c>
      <c r="L42" s="74">
        <v>88.566359301938121</v>
      </c>
      <c r="M42" s="74">
        <v>91.049437120720299</v>
      </c>
      <c r="N42" s="74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74">
        <v>36.100024762914678</v>
      </c>
      <c r="H43" s="74">
        <v>65.74144875907767</v>
      </c>
      <c r="I43" s="74">
        <v>78.158526478007559</v>
      </c>
      <c r="J43" s="74">
        <v>14689.999999999998</v>
      </c>
      <c r="K43" s="74">
        <v>98.488578017961046</v>
      </c>
      <c r="L43" s="74">
        <v>163.60012224934309</v>
      </c>
      <c r="M43" s="74">
        <v>152.3975065412817</v>
      </c>
      <c r="N43" s="74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74">
        <v>18.663066182327583</v>
      </c>
      <c r="H44" s="74">
        <v>14.317931363127959</v>
      </c>
      <c r="I44" s="74">
        <v>147.01900245454448</v>
      </c>
      <c r="J44" s="74">
        <v>305.00000000000034</v>
      </c>
      <c r="K44" s="74">
        <v>26.92582403567252</v>
      </c>
      <c r="L44" s="74">
        <v>45.803929962395145</v>
      </c>
      <c r="M44" s="74">
        <v>20.808652046684813</v>
      </c>
      <c r="N44" s="74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74">
        <v>121.03174990938801</v>
      </c>
      <c r="H45" s="74">
        <v>43.135561368081746</v>
      </c>
      <c r="I45" s="74">
        <v>15.832688722530373</v>
      </c>
      <c r="J45" s="74">
        <v>1486</v>
      </c>
      <c r="K45" s="74">
        <v>82.619610262939389</v>
      </c>
      <c r="L45" s="74">
        <v>26.305892875931811</v>
      </c>
      <c r="M45" s="74">
        <v>65.924198895398035</v>
      </c>
      <c r="N45" s="74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74">
        <v>36.641173194118814</v>
      </c>
      <c r="H46" s="74">
        <v>85.601294645004444</v>
      </c>
      <c r="I46" s="74">
        <v>57.757532160876664</v>
      </c>
      <c r="J46" s="74">
        <v>1495</v>
      </c>
      <c r="K46" s="74">
        <v>32.526911934581186</v>
      </c>
      <c r="L46" s="74">
        <v>46.097722286464439</v>
      </c>
      <c r="M46" s="74">
        <v>54.341512676774101</v>
      </c>
      <c r="N46" s="74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74">
        <v>4.4295592989764563</v>
      </c>
      <c r="H47" s="74">
        <v>0.33408239174132559</v>
      </c>
      <c r="I47" s="74">
        <v>175.23635830927086</v>
      </c>
      <c r="J47" s="74">
        <v>109.9999999976245</v>
      </c>
      <c r="K47" s="74">
        <v>132.45754036671525</v>
      </c>
      <c r="L47" s="74">
        <v>142.42541907960108</v>
      </c>
      <c r="M47" s="74">
        <v>10</v>
      </c>
      <c r="N47" s="74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74">
        <v>109.62689472182669</v>
      </c>
      <c r="H48" s="74">
        <v>49.904040854794317</v>
      </c>
      <c r="I48" s="74">
        <v>20.469064423379042</v>
      </c>
      <c r="J48" s="74">
        <v>11054.000000000002</v>
      </c>
      <c r="K48" s="74">
        <v>197.28405916343064</v>
      </c>
      <c r="L48" s="74">
        <v>73.246160308919954</v>
      </c>
      <c r="M48" s="74">
        <v>160.22484201895784</v>
      </c>
      <c r="N48" s="74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74">
        <v>60.812823490340165</v>
      </c>
      <c r="H49" s="74">
        <v>63.257305640106772</v>
      </c>
      <c r="I49" s="74">
        <v>55.929870869553042</v>
      </c>
      <c r="J49" s="74">
        <v>30270.999999999996</v>
      </c>
      <c r="K49" s="74">
        <v>189.01058171435798</v>
      </c>
      <c r="L49" s="74">
        <v>179.33767033169579</v>
      </c>
      <c r="M49" s="74">
        <v>193.34166648707671</v>
      </c>
      <c r="N49" s="74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74">
        <v>0.9191047837006201</v>
      </c>
      <c r="H50" s="74">
        <v>179.01788283675256</v>
      </c>
      <c r="I50" s="74">
        <v>6.3012379465895552E-2</v>
      </c>
      <c r="J50" s="74">
        <v>18.000000000426038</v>
      </c>
      <c r="K50" s="74">
        <v>123.76186811776881</v>
      </c>
      <c r="L50" s="74">
        <v>8.4852813742385695</v>
      </c>
      <c r="M50" s="74">
        <v>132.24598292575845</v>
      </c>
      <c r="N50" s="74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74">
        <v>56.221987380251882</v>
      </c>
      <c r="H51" s="74">
        <v>53.860518629400701</v>
      </c>
      <c r="I51" s="74">
        <v>69.917493990347438</v>
      </c>
      <c r="J51" s="74">
        <v>26734</v>
      </c>
      <c r="K51" s="74">
        <v>171.16366436834659</v>
      </c>
      <c r="L51" s="74">
        <v>193.40372281835735</v>
      </c>
      <c r="M51" s="74">
        <v>166.30093204789924</v>
      </c>
      <c r="N51" s="74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74">
        <v>17.612878631460053</v>
      </c>
      <c r="H52" s="74">
        <v>132.59364658871519</v>
      </c>
      <c r="I52" s="74">
        <v>29.793474779824834</v>
      </c>
      <c r="J52" s="74">
        <v>10464.000000000004</v>
      </c>
      <c r="K52" s="74">
        <v>93.037626796904064</v>
      </c>
      <c r="L52" s="74">
        <v>152.77761616153069</v>
      </c>
      <c r="M52" s="74">
        <v>226.35591443565153</v>
      </c>
      <c r="N52" s="74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74">
        <v>36.385402761013445</v>
      </c>
      <c r="H53" s="74">
        <v>36.320110148679568</v>
      </c>
      <c r="I53" s="74">
        <v>107.2944870903069</v>
      </c>
      <c r="J53" s="74">
        <v>12332.999999999985</v>
      </c>
      <c r="K53" s="74">
        <v>113.74093370462545</v>
      </c>
      <c r="L53" s="74">
        <v>183.06829326784035</v>
      </c>
      <c r="M53" s="74">
        <v>113.5649593844862</v>
      </c>
      <c r="N53" s="74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74">
        <v>157.73454980094627</v>
      </c>
      <c r="H54" s="74">
        <v>10.094824814274565</v>
      </c>
      <c r="I54" s="74">
        <v>12.170625384779749</v>
      </c>
      <c r="J54" s="74">
        <v>2780.0000000000773</v>
      </c>
      <c r="K54" s="74">
        <v>168.83423823383691</v>
      </c>
      <c r="L54" s="74">
        <v>93.941471140279674</v>
      </c>
      <c r="M54" s="74">
        <v>78.10249675906654</v>
      </c>
      <c r="N54" s="74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74">
        <v>48.094799011702236</v>
      </c>
      <c r="H55" s="74">
        <v>84.202900320440932</v>
      </c>
      <c r="I55" s="74">
        <v>47.702300667856733</v>
      </c>
      <c r="J55" s="74">
        <v>13179.000000000002</v>
      </c>
      <c r="K55" s="74">
        <v>115.45128842936315</v>
      </c>
      <c r="L55" s="74">
        <v>114.73883387938018</v>
      </c>
      <c r="M55" s="74">
        <v>154.33081351434652</v>
      </c>
      <c r="N55" s="74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74">
        <v>86.566369637549457</v>
      </c>
      <c r="H56" s="74">
        <v>54.246112745563217</v>
      </c>
      <c r="I56" s="74">
        <v>39.187517616887241</v>
      </c>
      <c r="J56" s="74">
        <v>3899.9999999999977</v>
      </c>
      <c r="K56" s="74">
        <v>87.13208364316786</v>
      </c>
      <c r="L56" s="74">
        <v>55.154328932550705</v>
      </c>
      <c r="M56" s="74">
        <v>70.837842993699354</v>
      </c>
      <c r="N56" s="74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74">
        <v>80.132643624315108</v>
      </c>
      <c r="H57" s="74">
        <v>42.660481920146793</v>
      </c>
      <c r="I57" s="74">
        <v>57.206874455538134</v>
      </c>
      <c r="J57" s="74">
        <v>28090.000000000011</v>
      </c>
      <c r="K57" s="74">
        <v>220.41097976280582</v>
      </c>
      <c r="L57" s="74">
        <v>188.06647760831805</v>
      </c>
      <c r="M57" s="74">
        <v>151.6047492659778</v>
      </c>
      <c r="N57" s="74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74">
        <v>54.950626687951662</v>
      </c>
      <c r="H58" s="74">
        <v>19.330122533133142</v>
      </c>
      <c r="I58" s="74">
        <v>105.71925077891532</v>
      </c>
      <c r="J58" s="74">
        <v>2345.0000000000064</v>
      </c>
      <c r="K58" s="74">
        <v>77.620873481300123</v>
      </c>
      <c r="L58" s="74">
        <v>91.268833672837076</v>
      </c>
      <c r="M58" s="74">
        <v>31.384709652950431</v>
      </c>
      <c r="N58" s="74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74">
        <v>11.309932474020323</v>
      </c>
      <c r="H59" s="74">
        <v>9.4623222080257747</v>
      </c>
      <c r="I59" s="74">
        <v>159.22774531795415</v>
      </c>
      <c r="J59" s="74">
        <v>814.00000000001342</v>
      </c>
      <c r="K59" s="74">
        <v>52.32590180780452</v>
      </c>
      <c r="L59" s="74">
        <v>94.62557793746889</v>
      </c>
      <c r="M59" s="74">
        <v>43.863424398922618</v>
      </c>
      <c r="N59" s="74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74">
        <v>31.401553600099056</v>
      </c>
      <c r="H60" s="74">
        <v>73.177761561551222</v>
      </c>
      <c r="I60" s="74">
        <v>75.420684838349729</v>
      </c>
      <c r="J60" s="74">
        <v>17682.000000000004</v>
      </c>
      <c r="K60" s="74">
        <v>99.724620831567975</v>
      </c>
      <c r="L60" s="74">
        <v>185.23498589629335</v>
      </c>
      <c r="M60" s="74">
        <v>183.20753259623362</v>
      </c>
      <c r="N60" s="74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74">
        <v>10.411363326221819</v>
      </c>
      <c r="H61" s="74">
        <v>61.870537002532366</v>
      </c>
      <c r="I61" s="74">
        <v>107.71809967124577</v>
      </c>
      <c r="J61" s="74">
        <v>1877.9999999999993</v>
      </c>
      <c r="K61" s="74">
        <v>20.09975124224178</v>
      </c>
      <c r="L61" s="74">
        <v>105.94810050208545</v>
      </c>
      <c r="M61" s="74">
        <v>98.086696345630884</v>
      </c>
      <c r="N61" s="74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74">
        <v>70.559965171823848</v>
      </c>
      <c r="H62" s="74">
        <v>76.75948008481285</v>
      </c>
      <c r="I62" s="74">
        <v>32.680554743363416</v>
      </c>
      <c r="J62" s="74">
        <v>7072.0000000000009</v>
      </c>
      <c r="K62" s="74">
        <v>112.64102272262978</v>
      </c>
      <c r="L62" s="74">
        <v>64.498061986388393</v>
      </c>
      <c r="M62" s="74">
        <v>116.27553482998907</v>
      </c>
      <c r="N62" s="74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74">
        <v>64.266469242399154</v>
      </c>
      <c r="H63" s="74">
        <v>58.577113771877904</v>
      </c>
      <c r="I63" s="74">
        <v>57.156416985722885</v>
      </c>
      <c r="J63" s="74">
        <v>11103.999999999998</v>
      </c>
      <c r="K63" s="74">
        <v>118.1185844818672</v>
      </c>
      <c r="L63" s="74">
        <v>110.16351483136329</v>
      </c>
      <c r="M63" s="74">
        <v>111.89280584559492</v>
      </c>
      <c r="N63" s="74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74">
        <v>60.860884891891054</v>
      </c>
      <c r="H64" s="74">
        <v>61.527058958428178</v>
      </c>
      <c r="I64" s="74">
        <v>57.612056149680683</v>
      </c>
      <c r="J64" s="74">
        <v>1782.9999999999991</v>
      </c>
      <c r="K64" s="74">
        <v>45.803929962395145</v>
      </c>
      <c r="L64" s="74">
        <v>44.283179650969061</v>
      </c>
      <c r="M64" s="74">
        <v>46.097722286464439</v>
      </c>
      <c r="N64" s="74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74">
        <v>12.528807709151433</v>
      </c>
      <c r="H65" s="74">
        <v>149.03624346792643</v>
      </c>
      <c r="I65" s="74">
        <v>18.434948822922006</v>
      </c>
      <c r="J65" s="74">
        <v>3510.0000000000059</v>
      </c>
      <c r="K65" s="74">
        <v>68.410525505948286</v>
      </c>
      <c r="L65" s="74">
        <v>99.724620831567975</v>
      </c>
      <c r="M65" s="74">
        <v>162.24980739587951</v>
      </c>
      <c r="N65" s="74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74">
        <v>107.74133877267688</v>
      </c>
      <c r="H66" s="74">
        <v>36.881710396589966</v>
      </c>
      <c r="I66" s="74">
        <v>35.376950830733215</v>
      </c>
      <c r="J66" s="74">
        <v>8733.0000000000073</v>
      </c>
      <c r="K66" s="74">
        <v>154.719100307622</v>
      </c>
      <c r="L66" s="74">
        <v>94.047860156411858</v>
      </c>
      <c r="M66" s="74">
        <v>97.49358953285082</v>
      </c>
      <c r="N66" s="74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74">
        <v>12.769085970665559</v>
      </c>
      <c r="H67" s="74">
        <v>163.40048466948576</v>
      </c>
      <c r="I67" s="74">
        <v>3.8304293598483969</v>
      </c>
      <c r="J67" s="74">
        <v>3207.0000000000036</v>
      </c>
      <c r="K67" s="74">
        <v>192.7200041511</v>
      </c>
      <c r="L67" s="74">
        <v>58.249463516842795</v>
      </c>
      <c r="M67" s="74">
        <v>249.09837414162303</v>
      </c>
      <c r="N67" s="74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74">
        <v>5.7542379384965336</v>
      </c>
      <c r="H68" s="74">
        <v>88.518542829113017</v>
      </c>
      <c r="I68" s="74">
        <v>85.727219232390709</v>
      </c>
      <c r="J68" s="74">
        <v>2436</v>
      </c>
      <c r="K68" s="74">
        <v>15.652475842498529</v>
      </c>
      <c r="L68" s="74">
        <v>155.68236894394946</v>
      </c>
      <c r="M68" s="74">
        <v>156.06408939919524</v>
      </c>
      <c r="N68" s="74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74">
        <v>33.589816359453728</v>
      </c>
      <c r="H69" s="74">
        <v>80.100629977293323</v>
      </c>
      <c r="I69" s="74">
        <v>66.309553663252871</v>
      </c>
      <c r="J69" s="74">
        <v>2016.9999999999998</v>
      </c>
      <c r="K69" s="74">
        <v>35.171010790137949</v>
      </c>
      <c r="L69" s="74">
        <v>58.215118311311535</v>
      </c>
      <c r="M69" s="74">
        <v>62.625873247404705</v>
      </c>
      <c r="N69" s="74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74">
        <v>139.76364169072627</v>
      </c>
      <c r="H70" s="74">
        <v>33.47276472650438</v>
      </c>
      <c r="I70" s="74">
        <v>6.7635935827698495</v>
      </c>
      <c r="J70" s="74">
        <v>1936.0000000000064</v>
      </c>
      <c r="K70" s="74">
        <v>138.75157656761959</v>
      </c>
      <c r="L70" s="74">
        <v>25.298221281347036</v>
      </c>
      <c r="M70" s="74">
        <v>118.47362575695909</v>
      </c>
      <c r="N70" s="74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74">
        <v>34.22842174076775</v>
      </c>
      <c r="H71" s="74">
        <v>34.618538521663055</v>
      </c>
      <c r="I71" s="74">
        <v>111.1530397375692</v>
      </c>
      <c r="J71" s="74">
        <v>3520.0000000000005</v>
      </c>
      <c r="K71" s="74">
        <v>61.1310068623117</v>
      </c>
      <c r="L71" s="74">
        <v>101.35580891098448</v>
      </c>
      <c r="M71" s="74">
        <v>61.741396161732524</v>
      </c>
      <c r="N71" s="74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sheetPr codeName="Sheet9"/>
  <dimension ref="A1:Q29"/>
  <sheetViews>
    <sheetView tabSelected="1" zoomScale="95" workbookViewId="0">
      <selection activeCell="G25" sqref="G25"/>
    </sheetView>
  </sheetViews>
  <sheetFormatPr defaultColWidth="9.140625" defaultRowHeight="12.75" x14ac:dyDescent="0.2"/>
  <cols>
    <col min="1" max="1" width="21.140625" style="20" customWidth="1"/>
    <col min="2" max="2" width="15.7109375" style="28" customWidth="1"/>
    <col min="3" max="3" width="14.5703125" style="28" customWidth="1"/>
    <col min="4" max="4" width="23.140625" style="23" customWidth="1"/>
    <col min="5" max="10" width="9.140625" style="20"/>
    <col min="11" max="11" width="9.140625" style="38"/>
    <col min="12" max="16384" width="9.140625" style="20"/>
  </cols>
  <sheetData>
    <row r="1" spans="1:17" ht="55.5" customHeight="1" x14ac:dyDescent="0.2">
      <c r="A1" s="19"/>
      <c r="B1" s="29" t="s">
        <v>99</v>
      </c>
      <c r="C1" s="29" t="s">
        <v>100</v>
      </c>
      <c r="D1" s="25" t="s">
        <v>98</v>
      </c>
      <c r="F1" s="65"/>
      <c r="G1" s="65"/>
      <c r="H1" s="65"/>
      <c r="I1" s="65"/>
      <c r="J1" s="65"/>
      <c r="K1" s="41"/>
      <c r="M1" s="40"/>
      <c r="N1" s="40"/>
      <c r="O1" s="40"/>
      <c r="P1" s="40"/>
    </row>
    <row r="2" spans="1:17" ht="13.15" customHeight="1" x14ac:dyDescent="0.2">
      <c r="A2" s="19" t="s">
        <v>61</v>
      </c>
      <c r="B2" s="26">
        <v>2</v>
      </c>
      <c r="C2" s="27">
        <v>0</v>
      </c>
      <c r="D2" s="18"/>
      <c r="L2" s="61" t="s">
        <v>3909</v>
      </c>
      <c r="M2" s="61"/>
      <c r="N2" s="61"/>
      <c r="O2" s="61"/>
      <c r="P2" s="61"/>
    </row>
    <row r="3" spans="1:17" ht="13.15" customHeight="1" x14ac:dyDescent="0.2">
      <c r="A3" s="19" t="s">
        <v>62</v>
      </c>
      <c r="B3" s="26">
        <v>1</v>
      </c>
      <c r="C3" s="27">
        <v>3.5000000000000003E-2</v>
      </c>
      <c r="D3" s="18">
        <f>pirkums!J4*pirkums!B3-pirkums!C3*pirkums!B3*pirkums!J4</f>
        <v>0</v>
      </c>
      <c r="K3" s="38">
        <v>22</v>
      </c>
      <c r="L3" s="61"/>
      <c r="M3" s="61"/>
      <c r="N3" s="61"/>
      <c r="O3" s="61"/>
      <c r="P3" s="61"/>
      <c r="Q3" s="20" t="s">
        <v>3884</v>
      </c>
    </row>
    <row r="4" spans="1:17" ht="13.15" customHeight="1" x14ac:dyDescent="0.2">
      <c r="A4" s="19" t="s">
        <v>63</v>
      </c>
      <c r="B4" s="26">
        <v>2</v>
      </c>
      <c r="C4" s="27">
        <v>0.03</v>
      </c>
      <c r="D4" s="18">
        <f>pirkums!J5*pirkums!B4-pirkums!C4*pirkums!B4*pirkums!J5</f>
        <v>0</v>
      </c>
      <c r="L4" s="61"/>
      <c r="M4" s="61"/>
      <c r="N4" s="61"/>
      <c r="O4" s="61"/>
      <c r="P4" s="61"/>
    </row>
    <row r="5" spans="1:17" x14ac:dyDescent="0.2">
      <c r="A5" s="19" t="s">
        <v>64</v>
      </c>
      <c r="B5" s="26">
        <v>2</v>
      </c>
      <c r="C5" s="27">
        <v>2.5000000000000001E-2</v>
      </c>
      <c r="D5" s="18">
        <f>pirkums!J6*pirkums!B5-pirkums!C5*pirkums!B5*pirkums!J6</f>
        <v>0</v>
      </c>
      <c r="L5" s="61"/>
      <c r="M5" s="61"/>
      <c r="N5" s="61"/>
      <c r="O5" s="61"/>
      <c r="P5" s="61"/>
    </row>
    <row r="6" spans="1:17" ht="13.9" customHeight="1" x14ac:dyDescent="0.2">
      <c r="A6" s="19" t="s">
        <v>65</v>
      </c>
      <c r="B6" s="26">
        <v>2</v>
      </c>
      <c r="C6" s="27">
        <v>5.0000000000000001E-3</v>
      </c>
      <c r="D6" s="18">
        <f>pirkums!J7*pirkums!B6-pirkums!C6*pirkums!B6*pirkums!J7</f>
        <v>0</v>
      </c>
      <c r="L6" s="61"/>
      <c r="M6" s="61"/>
      <c r="N6" s="61"/>
      <c r="O6" s="61"/>
      <c r="P6" s="61"/>
    </row>
    <row r="7" spans="1:17" x14ac:dyDescent="0.2">
      <c r="A7" s="19" t="s">
        <v>66</v>
      </c>
      <c r="B7" s="26">
        <v>2</v>
      </c>
      <c r="C7" s="27">
        <v>5.0000000000000001E-3</v>
      </c>
      <c r="D7" s="18">
        <f>pirkums!J8*pirkums!B7-pirkums!C7*pirkums!B7*pirkums!J8</f>
        <v>0</v>
      </c>
    </row>
    <row r="8" spans="1:17" x14ac:dyDescent="0.2">
      <c r="A8" s="19" t="s">
        <v>67</v>
      </c>
      <c r="B8" s="26">
        <v>1</v>
      </c>
      <c r="C8" s="27">
        <v>0.01</v>
      </c>
      <c r="D8" s="18">
        <f>pirkums!J9*pirkums!B8-pirkums!C8*pirkums!B8*pirkums!J9</f>
        <v>0</v>
      </c>
      <c r="K8" s="38">
        <v>23</v>
      </c>
      <c r="L8" s="61" t="s">
        <v>3908</v>
      </c>
      <c r="M8" s="61"/>
      <c r="N8" s="61"/>
      <c r="O8" s="61"/>
      <c r="P8" s="61"/>
      <c r="Q8" s="20" t="s">
        <v>3885</v>
      </c>
    </row>
    <row r="9" spans="1:17" x14ac:dyDescent="0.2">
      <c r="A9" s="19" t="s">
        <v>68</v>
      </c>
      <c r="B9" s="26">
        <v>1</v>
      </c>
      <c r="C9" s="27">
        <v>0.01</v>
      </c>
      <c r="D9" s="18">
        <f>pirkums!J10*pirkums!B9-pirkums!C9*pirkums!B9*pirkums!J10</f>
        <v>0</v>
      </c>
      <c r="L9" s="61"/>
      <c r="M9" s="61"/>
      <c r="N9" s="61"/>
      <c r="O9" s="61"/>
      <c r="P9" s="61"/>
    </row>
    <row r="10" spans="1:17" x14ac:dyDescent="0.2">
      <c r="A10" s="19" t="s">
        <v>69</v>
      </c>
      <c r="B10" s="26">
        <v>1</v>
      </c>
      <c r="C10" s="27">
        <v>1.4999999999999999E-2</v>
      </c>
      <c r="D10" s="18">
        <f>pirkums!J11*pirkums!B10-pirkums!C10*pirkums!B10*pirkums!J11</f>
        <v>0</v>
      </c>
    </row>
    <row r="11" spans="1:17" x14ac:dyDescent="0.2">
      <c r="A11" s="19" t="s">
        <v>70</v>
      </c>
      <c r="B11" s="26">
        <v>1</v>
      </c>
      <c r="C11" s="27">
        <v>0.03</v>
      </c>
      <c r="D11" s="18">
        <f>pirkums!J12*pirkums!B11-pirkums!C11*pirkums!B11*pirkums!J12</f>
        <v>0</v>
      </c>
    </row>
    <row r="12" spans="1:17" x14ac:dyDescent="0.2">
      <c r="A12" s="19" t="s">
        <v>71</v>
      </c>
      <c r="B12" s="26">
        <v>1</v>
      </c>
      <c r="C12" s="27">
        <v>0.02</v>
      </c>
      <c r="D12" s="18">
        <f>pirkums!J13*pirkums!B12-pirkums!C12*pirkums!B12*pirkums!J13</f>
        <v>0</v>
      </c>
    </row>
    <row r="13" spans="1:17" x14ac:dyDescent="0.2">
      <c r="A13" s="19" t="s">
        <v>72</v>
      </c>
      <c r="B13" s="26">
        <v>2</v>
      </c>
      <c r="C13" s="27">
        <v>2.5000000000000001E-2</v>
      </c>
      <c r="D13" s="18">
        <f>pirkums!J14*pirkums!B13-pirkums!C13*pirkums!B13*pirkums!J14</f>
        <v>0</v>
      </c>
    </row>
    <row r="14" spans="1:17" x14ac:dyDescent="0.2">
      <c r="A14" s="19" t="s">
        <v>73</v>
      </c>
      <c r="B14" s="26">
        <v>1</v>
      </c>
      <c r="C14" s="27">
        <v>0.02</v>
      </c>
      <c r="D14" s="18">
        <f>pirkums!J15*pirkums!B14-pirkums!C14*pirkums!B14*pirkums!J15</f>
        <v>0</v>
      </c>
    </row>
    <row r="15" spans="1:17" x14ac:dyDescent="0.2">
      <c r="A15" s="19" t="s">
        <v>74</v>
      </c>
      <c r="B15" s="26">
        <v>60</v>
      </c>
      <c r="C15" s="27">
        <v>0.03</v>
      </c>
      <c r="D15" s="18">
        <f>pirkums!J16*pirkums!B15-pirkums!C15*pirkums!B15*pirkums!J16</f>
        <v>0</v>
      </c>
    </row>
    <row r="16" spans="1:17" x14ac:dyDescent="0.2">
      <c r="A16" s="19" t="s">
        <v>75</v>
      </c>
      <c r="B16" s="26">
        <v>1</v>
      </c>
      <c r="C16" s="27">
        <v>2.5000000000000001E-2</v>
      </c>
      <c r="D16" s="18">
        <f>pirkums!J17*pirkums!B16-pirkums!C16*pirkums!B16*pirkums!J17</f>
        <v>0</v>
      </c>
    </row>
    <row r="17" spans="1:4" x14ac:dyDescent="0.2">
      <c r="A17" s="19" t="s">
        <v>76</v>
      </c>
      <c r="B17" s="26">
        <v>1</v>
      </c>
      <c r="C17" s="27">
        <v>1.4999999999999999E-2</v>
      </c>
      <c r="D17" s="18">
        <f>pirkums!J18*pirkums!B17-pirkums!C17*pirkums!B17*pirkums!J18</f>
        <v>0</v>
      </c>
    </row>
    <row r="18" spans="1:4" x14ac:dyDescent="0.2">
      <c r="A18" s="19" t="s">
        <v>77</v>
      </c>
      <c r="B18" s="26">
        <v>1</v>
      </c>
      <c r="C18" s="27">
        <v>4.4999999999999998E-2</v>
      </c>
      <c r="D18" s="18">
        <f>pirkums!J19*pirkums!B18-pirkums!C18*pirkums!B18*pirkums!J19</f>
        <v>0</v>
      </c>
    </row>
    <row r="19" spans="1:4" x14ac:dyDescent="0.2">
      <c r="A19" s="19" t="s">
        <v>78</v>
      </c>
      <c r="B19" s="26">
        <v>1</v>
      </c>
      <c r="C19" s="27">
        <v>4.4999999999999998E-2</v>
      </c>
      <c r="D19" s="18">
        <f>pirkums!J20*pirkums!B19-pirkums!C19*pirkums!B19*pirkums!J20</f>
        <v>0</v>
      </c>
    </row>
    <row r="20" spans="1:4" x14ac:dyDescent="0.2">
      <c r="A20" s="19" t="s">
        <v>79</v>
      </c>
      <c r="B20" s="26">
        <v>1</v>
      </c>
      <c r="C20" s="27">
        <v>2.5000000000000001E-2</v>
      </c>
      <c r="D20" s="18">
        <f>pirkums!J21*pirkums!B20-pirkums!C20*pirkums!B20*pirkums!J21</f>
        <v>0</v>
      </c>
    </row>
    <row r="21" spans="1:4" x14ac:dyDescent="0.2">
      <c r="A21" s="19" t="s">
        <v>80</v>
      </c>
      <c r="B21" s="26"/>
      <c r="C21" s="27">
        <v>1.4999999999999999E-2</v>
      </c>
      <c r="D21" s="18">
        <f>pirkums!J22*pirkums!B21-pirkums!C21*pirkums!B21*pirkums!J22</f>
        <v>0</v>
      </c>
    </row>
    <row r="22" spans="1:4" x14ac:dyDescent="0.2">
      <c r="A22" s="19" t="s">
        <v>81</v>
      </c>
      <c r="B22" s="26"/>
      <c r="C22" s="27">
        <v>0.05</v>
      </c>
      <c r="D22" s="18">
        <f>pirkums!J23*pirkums!B22-pirkums!C22*pirkums!B22*pirkums!J23</f>
        <v>0</v>
      </c>
    </row>
    <row r="23" spans="1:4" x14ac:dyDescent="0.2">
      <c r="A23" s="19" t="s">
        <v>82</v>
      </c>
      <c r="B23" s="26">
        <v>2</v>
      </c>
      <c r="C23" s="27">
        <v>0.04</v>
      </c>
      <c r="D23" s="18">
        <f>pirkums!J24*pirkums!B23-pirkums!C23*pirkums!B23*pirkums!J24</f>
        <v>0</v>
      </c>
    </row>
    <row r="24" spans="1:4" x14ac:dyDescent="0.2">
      <c r="A24" s="19" t="s">
        <v>83</v>
      </c>
      <c r="B24" s="26">
        <v>2</v>
      </c>
      <c r="C24" s="27">
        <v>0.01</v>
      </c>
      <c r="D24" s="18">
        <f>pirkums!J25*pirkums!B24-pirkums!C24*pirkums!B24*pirkums!J25</f>
        <v>0</v>
      </c>
    </row>
    <row r="25" spans="1:4" x14ac:dyDescent="0.2">
      <c r="A25" s="19" t="s">
        <v>84</v>
      </c>
      <c r="B25" s="26">
        <v>2</v>
      </c>
      <c r="C25" s="27">
        <v>3.5000000000000003E-2</v>
      </c>
      <c r="D25" s="18">
        <f>pirkums!J26*pirkums!B25-pirkums!C25*pirkums!B25*pirkums!J26</f>
        <v>0</v>
      </c>
    </row>
    <row r="26" spans="1:4" x14ac:dyDescent="0.2">
      <c r="A26" s="19" t="s">
        <v>85</v>
      </c>
      <c r="B26" s="26">
        <v>2</v>
      </c>
      <c r="C26" s="27">
        <v>0.01</v>
      </c>
      <c r="D26" s="18"/>
    </row>
    <row r="27" spans="1:4" x14ac:dyDescent="0.2">
      <c r="A27" s="19" t="s">
        <v>86</v>
      </c>
      <c r="B27" s="26"/>
      <c r="C27" s="27">
        <v>0</v>
      </c>
      <c r="D27" s="18"/>
    </row>
    <row r="28" spans="1:4" x14ac:dyDescent="0.2">
      <c r="A28" s="19" t="s">
        <v>87</v>
      </c>
      <c r="B28" s="26">
        <v>4</v>
      </c>
      <c r="C28" s="27">
        <v>0.02</v>
      </c>
      <c r="D28" s="18"/>
    </row>
    <row r="29" spans="1:4" x14ac:dyDescent="0.2">
      <c r="B29" s="66" t="s">
        <v>101</v>
      </c>
      <c r="C29" s="67"/>
      <c r="D29" s="24"/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sheetPr codeName="Sheet10"/>
  <dimension ref="A1:K29"/>
  <sheetViews>
    <sheetView workbookViewId="0">
      <selection activeCell="L28" sqref="L28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2" customWidth="1"/>
    <col min="4" max="8" width="9.28515625" style="21" customWidth="1"/>
    <col min="10" max="10" width="12.5703125" style="21" customWidth="1"/>
    <col min="11" max="11" width="9.28515625" style="21" customWidth="1"/>
    <col min="12" max="16384" width="9.140625" style="19"/>
  </cols>
  <sheetData>
    <row r="1" spans="1:11" x14ac:dyDescent="0.2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 t="s">
        <v>3916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25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50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135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70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60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35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53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16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35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50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130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320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60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24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250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14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40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55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40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80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12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50</v>
      </c>
      <c r="K28" s="22">
        <v>4.0999999999999996</v>
      </c>
    </row>
    <row r="29" spans="1:11" x14ac:dyDescent="0.2">
      <c r="J29" s="30">
        <v>1</v>
      </c>
    </row>
  </sheetData>
  <phoneticPr fontId="24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sheetPr codeName="Sheet11"/>
  <dimension ref="A1:Q1487"/>
  <sheetViews>
    <sheetView topLeftCell="B1" workbookViewId="0">
      <selection activeCell="M20" sqref="M20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68" t="s">
        <v>3882</v>
      </c>
      <c r="M1" s="68"/>
      <c r="N1" s="68"/>
      <c r="O1" s="68"/>
      <c r="P1" s="68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68"/>
      <c r="M2" s="68"/>
      <c r="N2" s="68"/>
      <c r="O2" s="68"/>
      <c r="P2" s="68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68"/>
      <c r="M3" s="68"/>
      <c r="N3" s="68"/>
      <c r="O3" s="68"/>
      <c r="P3" s="68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69" t="s">
        <v>3883</v>
      </c>
      <c r="M6" s="69"/>
      <c r="N6" s="69"/>
      <c r="O6" s="69"/>
      <c r="P6" s="69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69"/>
      <c r="M7" s="69"/>
      <c r="N7" s="69"/>
      <c r="O7" s="69"/>
      <c r="P7" s="69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69"/>
      <c r="M8" s="69"/>
      <c r="N8" s="69"/>
      <c r="O8" s="69"/>
      <c r="P8" s="69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69"/>
      <c r="M9" s="69"/>
      <c r="N9" s="69"/>
      <c r="O9" s="69"/>
      <c r="P9" s="69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69" t="s">
        <v>3892</v>
      </c>
      <c r="M12" s="69"/>
      <c r="N12" s="69"/>
      <c r="O12" s="69"/>
      <c r="P12" s="69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69"/>
      <c r="M13" s="69"/>
      <c r="N13" s="69"/>
      <c r="O13" s="69"/>
      <c r="P13" s="69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69"/>
      <c r="M14" s="69"/>
      <c r="N14" s="69"/>
      <c r="O14" s="69"/>
      <c r="P14" s="69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69"/>
      <c r="M15" s="69"/>
      <c r="N15" s="69"/>
      <c r="O15" s="69"/>
      <c r="P15" s="69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86ED-9B38-4182-9CAA-9B51DD01E6D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sheetPr codeName="Sheet12"/>
  <dimension ref="A1:R11"/>
  <sheetViews>
    <sheetView workbookViewId="0">
      <selection activeCell="N20" sqref="N20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45" t="s">
        <v>3893</v>
      </c>
      <c r="B1" s="46" t="s">
        <v>3894</v>
      </c>
      <c r="E1" s="70" t="s">
        <v>3895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8" ht="18" customHeight="1" x14ac:dyDescent="0.2">
      <c r="A2" s="47">
        <v>0</v>
      </c>
      <c r="B2" s="47">
        <v>1</v>
      </c>
      <c r="D2" s="3">
        <v>27</v>
      </c>
      <c r="E2" s="49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">
      <c r="A3" s="47">
        <v>10</v>
      </c>
      <c r="B3" s="47">
        <v>1.17</v>
      </c>
      <c r="D3" s="56">
        <v>28</v>
      </c>
      <c r="E3" s="49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">
      <c r="A4" s="47">
        <v>25</v>
      </c>
      <c r="B4" s="47">
        <v>1.48</v>
      </c>
    </row>
    <row r="5" spans="1:18" ht="18" customHeight="1" x14ac:dyDescent="0.2">
      <c r="A5" s="47">
        <v>45</v>
      </c>
      <c r="B5" s="47">
        <v>2.2799999999999998</v>
      </c>
    </row>
    <row r="6" spans="1:18" ht="18" customHeight="1" x14ac:dyDescent="0.2">
      <c r="A6" s="47">
        <v>49.5</v>
      </c>
      <c r="B6" s="47">
        <v>3.3</v>
      </c>
    </row>
    <row r="7" spans="1:18" ht="18" customHeight="1" x14ac:dyDescent="0.2">
      <c r="A7" s="47">
        <v>49.75</v>
      </c>
      <c r="B7" s="47">
        <v>3.6</v>
      </c>
    </row>
    <row r="8" spans="1:18" ht="18" customHeight="1" x14ac:dyDescent="0.2">
      <c r="A8" s="47">
        <v>50</v>
      </c>
      <c r="B8" s="47">
        <v>7</v>
      </c>
      <c r="R8" t="s">
        <v>3898</v>
      </c>
    </row>
    <row r="9" spans="1:18" ht="18" customHeight="1" x14ac:dyDescent="0.2">
      <c r="A9" s="47">
        <v>50.25</v>
      </c>
      <c r="B9" s="47">
        <v>10.4</v>
      </c>
    </row>
    <row r="10" spans="1:18" ht="18" customHeight="1" x14ac:dyDescent="0.2">
      <c r="A10" s="47">
        <v>55</v>
      </c>
      <c r="B10" s="47">
        <v>11.68</v>
      </c>
    </row>
    <row r="11" spans="1:18" ht="18" customHeight="1" x14ac:dyDescent="0.2">
      <c r="A11" s="47">
        <v>60</v>
      </c>
      <c r="B11" s="47">
        <v>11.96</v>
      </c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A9318F-3D9C-4336-B19A-35E288F3B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Sheet3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Helmuts</cp:lastModifiedBy>
  <cp:lastPrinted>2014-11-15T13:20:28Z</cp:lastPrinted>
  <dcterms:created xsi:type="dcterms:W3CDTF">2014-03-10T14:05:11Z</dcterms:created>
  <dcterms:modified xsi:type="dcterms:W3CDTF">2026-01-23T12:51:13Z</dcterms:modified>
</cp:coreProperties>
</file>